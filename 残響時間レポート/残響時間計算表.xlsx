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自分の計画" sheetId="2" state="visible" r:id="rId4"/>
    <sheet name="材料DB" sheetId="3" state="visible" r:id="rId5"/>
    <sheet name="p7例題_検算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8" authorId="0">
      <text>
        <r>
          <rPr>
            <sz val="10"/>
            <rFont val="WenQuanYi Zen Hei"/>
            <family val="2"/>
          </rPr>
          <t xml:space="preserve">室容積</t>
        </r>
        <r>
          <rPr>
            <sz val="10"/>
            <rFont val="Arial"/>
            <family val="2"/>
          </rPr>
          <t xml:space="preserve">[m³]</t>
        </r>
        <r>
          <rPr>
            <sz val="10"/>
            <rFont val="WenQuanYi Zen Hei"/>
            <family val="2"/>
          </rPr>
          <t xml:space="preserve">を入力（自分の建物の値）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8" authorId="0">
      <text>
        <r>
          <rPr>
            <sz val="10"/>
            <rFont val="WenQuanYi Zen Hei"/>
            <family val="2"/>
          </rPr>
          <t xml:space="preserve">室容積</t>
        </r>
        <r>
          <rPr>
            <sz val="10"/>
            <rFont val="Arial"/>
            <family val="2"/>
          </rPr>
          <t xml:space="preserve">[m³]</t>
        </r>
        <r>
          <rPr>
            <sz val="10"/>
            <rFont val="WenQuanYi Zen Hei"/>
            <family val="2"/>
          </rPr>
          <t xml:space="preserve">を入力（自分の建物の値）</t>
        </r>
      </text>
    </comment>
  </commentList>
</comments>
</file>

<file path=xl/sharedStrings.xml><?xml version="1.0" encoding="utf-8"?>
<sst xmlns="http://schemas.openxmlformats.org/spreadsheetml/2006/main" count="406" uniqueCount="201">
  <si>
    <r>
      <rPr>
        <b val="true"/>
        <sz val="14"/>
        <rFont val="WenQuanYi Zen Hei"/>
        <family val="2"/>
      </rPr>
      <t xml:space="preserve">残響時間計算シート（課題：表</t>
    </r>
    <r>
      <rPr>
        <b val="true"/>
        <sz val="14"/>
        <rFont val="Yu Gothic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建物の内装計画と残響時間計算表）</t>
    </r>
  </si>
  <si>
    <t xml:space="preserve">■ シート構成</t>
  </si>
  <si>
    <r>
      <rPr>
        <sz val="10"/>
        <rFont val="WenQuanYi Zen Hei"/>
        <family val="2"/>
      </rPr>
      <t xml:space="preserve">  材料</t>
    </r>
    <r>
      <rPr>
        <sz val="10"/>
        <rFont val="Yu Gothic"/>
        <family val="0"/>
        <charset val="1"/>
      </rPr>
      <t xml:space="preserve">DB …… </t>
    </r>
    <r>
      <rPr>
        <sz val="10"/>
        <rFont val="WenQuanYi Zen Hei"/>
        <family val="2"/>
      </rPr>
      <t xml:space="preserve">材料名と各周波数の吸音率</t>
    </r>
    <r>
      <rPr>
        <sz val="10"/>
        <rFont val="Yu Gothic"/>
        <family val="0"/>
        <charset val="1"/>
      </rPr>
      <t xml:space="preserve">α</t>
    </r>
    <r>
      <rPr>
        <sz val="10"/>
        <rFont val="WenQuanYi Zen Hei"/>
        <family val="2"/>
      </rPr>
      <t xml:space="preserve">。ここを書き換えると全シートの計算に自動反映されます。</t>
    </r>
  </si>
  <si>
    <r>
      <rPr>
        <sz val="10"/>
        <rFont val="WenQuanYi Zen Hei"/>
        <family val="2"/>
      </rPr>
      <t xml:space="preserve">  自分の計画 …… 自分の建物（</t>
    </r>
    <r>
      <rPr>
        <sz val="10"/>
        <rFont val="Yu Gothic"/>
        <family val="0"/>
        <charset val="1"/>
      </rPr>
      <t xml:space="preserve">18m×14m×</t>
    </r>
    <r>
      <rPr>
        <sz val="10"/>
        <rFont val="WenQuanYi Zen Hei"/>
        <family val="2"/>
      </rPr>
      <t xml:space="preserve">高さ</t>
    </r>
    <r>
      <rPr>
        <sz val="10"/>
        <rFont val="Yu Gothic"/>
        <family val="0"/>
        <charset val="1"/>
      </rPr>
      <t xml:space="preserve">10m</t>
    </r>
    <r>
      <rPr>
        <sz val="10"/>
        <rFont val="WenQuanYi Zen Hei"/>
        <family val="2"/>
      </rPr>
      <t xml:space="preserve">、</t>
    </r>
    <r>
      <rPr>
        <sz val="10"/>
        <rFont val="Yu Gothic"/>
        <family val="0"/>
        <charset val="1"/>
      </rPr>
      <t xml:space="preserve">300</t>
    </r>
    <r>
      <rPr>
        <sz val="10"/>
        <rFont val="WenQuanYi Zen Hei"/>
        <family val="2"/>
      </rPr>
      <t xml:space="preserve">席、</t>
    </r>
    <r>
      <rPr>
        <sz val="10"/>
        <rFont val="Yu Gothic"/>
        <family val="0"/>
        <charset val="1"/>
      </rPr>
      <t xml:space="preserve">V=2520m³</t>
    </r>
    <r>
      <rPr>
        <sz val="10"/>
        <rFont val="WenQuanYi Zen Hei"/>
        <family val="2"/>
      </rPr>
      <t xml:space="preserve">）の計算。【仮】と書いた面積は図面で確認して直すこと。</t>
    </r>
  </si>
  <si>
    <r>
      <rPr>
        <sz val="10"/>
        <rFont val="Yu Gothic"/>
        <family val="0"/>
        <charset val="1"/>
      </rPr>
      <t xml:space="preserve">  p7</t>
    </r>
    <r>
      <rPr>
        <sz val="10"/>
        <rFont val="WenQuanYi Zen Hei"/>
        <family val="2"/>
      </rPr>
      <t xml:space="preserve">例題</t>
    </r>
    <r>
      <rPr>
        <sz val="10"/>
        <rFont val="Yu Gothic"/>
        <family val="0"/>
        <charset val="1"/>
      </rPr>
      <t xml:space="preserve">_</t>
    </r>
    <r>
      <rPr>
        <sz val="10"/>
        <rFont val="WenQuanYi Zen Hei"/>
        <family val="2"/>
      </rPr>
      <t xml:space="preserve">検算 …… </t>
    </r>
    <r>
      <rPr>
        <sz val="10"/>
        <rFont val="Yu Gothic"/>
        <family val="0"/>
        <charset val="1"/>
      </rPr>
      <t xml:space="preserve">p.7</t>
    </r>
    <r>
      <rPr>
        <sz val="10"/>
        <rFont val="WenQuanYi Zen Hei"/>
        <family val="2"/>
      </rPr>
      <t xml:space="preserve">表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をそのまま再現し、資料の答えと一致することを確認するシート（触らなくて</t>
    </r>
    <r>
      <rPr>
        <sz val="10"/>
        <rFont val="Yu Gothic"/>
        <family val="0"/>
        <charset val="1"/>
      </rPr>
      <t xml:space="preserve">OK</t>
    </r>
    <r>
      <rPr>
        <sz val="10"/>
        <rFont val="WenQuanYi Zen Hei"/>
        <family val="2"/>
      </rPr>
      <t xml:space="preserve">）。</t>
    </r>
  </si>
  <si>
    <t xml:space="preserve">■ 色の意味</t>
  </si>
  <si>
    <r>
      <rPr>
        <sz val="10"/>
        <rFont val="WenQuanYi Zen Hei"/>
        <family val="2"/>
      </rPr>
      <t xml:space="preserve">  黄色セル＋青文字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手で入力するセル（部位・材料・区分・面積・室容積など）</t>
    </r>
  </si>
  <si>
    <r>
      <rPr>
        <sz val="10"/>
        <rFont val="WenQuanYi Zen Hei"/>
        <family val="2"/>
      </rPr>
      <t xml:space="preserve">  白セル＋黒文字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自動計算（数式）。触らないでください。</t>
    </r>
  </si>
  <si>
    <r>
      <rPr>
        <sz val="10"/>
        <rFont val="WenQuanYi Zen Hei"/>
        <family val="2"/>
      </rPr>
      <t xml:space="preserve">  緑セル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最終結果（総吸音力・残響時間）</t>
    </r>
  </si>
  <si>
    <r>
      <rPr>
        <b val="true"/>
        <sz val="10"/>
        <rFont val="WenQuanYi Zen Hei"/>
        <family val="2"/>
      </rPr>
      <t xml:space="preserve">■ 計算式（</t>
    </r>
    <r>
      <rPr>
        <b val="true"/>
        <sz val="10"/>
        <rFont val="Yu Gothic"/>
        <family val="0"/>
        <charset val="1"/>
      </rPr>
      <t xml:space="preserve">p.6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</si>
  <si>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Yu Gothic"/>
        <family val="0"/>
        <charset val="1"/>
      </rPr>
      <t xml:space="preserve">  Sα = </t>
    </r>
    <r>
      <rPr>
        <sz val="10"/>
        <rFont val="WenQuanYi Zen Hei"/>
        <family val="2"/>
      </rPr>
      <t xml:space="preserve">面積</t>
    </r>
    <r>
      <rPr>
        <sz val="10"/>
        <rFont val="Yu Gothic"/>
        <family val="0"/>
        <charset val="1"/>
      </rPr>
      <t xml:space="preserve">S × </t>
    </r>
    <r>
      <rPr>
        <sz val="10"/>
        <rFont val="WenQuanYi Zen Hei"/>
        <family val="2"/>
      </rPr>
      <t xml:space="preserve">吸音率</t>
    </r>
    <r>
      <rPr>
        <sz val="10"/>
        <rFont val="Yu Gothic"/>
        <family val="0"/>
        <charset val="1"/>
      </rPr>
      <t xml:space="preserve">α</t>
    </r>
    <r>
      <rPr>
        <sz val="10"/>
        <rFont val="WenQuanYi Zen Hei"/>
        <family val="2"/>
      </rPr>
      <t xml:space="preserve">　　総吸音力 </t>
    </r>
    <r>
      <rPr>
        <sz val="10"/>
        <rFont val="Yu Gothic"/>
        <family val="0"/>
        <charset val="1"/>
      </rPr>
      <t xml:space="preserve">A = ΣSα</t>
    </r>
    <r>
      <rPr>
        <sz val="10"/>
        <rFont val="WenQuanYi Zen Hei"/>
        <family val="2"/>
      </rPr>
      <t xml:space="preserve">　　残響時間 </t>
    </r>
    <r>
      <rPr>
        <sz val="10"/>
        <rFont val="Yu Gothic"/>
        <family val="0"/>
        <charset val="1"/>
      </rPr>
      <t xml:space="preserve">T = 0.16V / A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Sabine</t>
    </r>
    <r>
      <rPr>
        <sz val="10"/>
        <rFont val="WenQuanYi Zen Hei"/>
        <family val="2"/>
      </rPr>
      <t xml:space="preserve">式）</t>
    </r>
  </si>
  <si>
    <r>
      <rPr>
        <sz val="10"/>
        <rFont val="WenQuanYi Zen Hei"/>
        <family val="2"/>
      </rPr>
      <t xml:space="preserve">  区分「共通」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空席・満席どちらにも入る面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「空席」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空席時だけ入る（椅子のみ）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「満席」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満席時だけ入る（椅子＋人）</t>
    </r>
  </si>
  <si>
    <r>
      <rPr>
        <sz val="10"/>
        <rFont val="WenQuanYi Zen Hei"/>
        <family val="2"/>
      </rPr>
      <t xml:space="preserve">  空席時 </t>
    </r>
    <r>
      <rPr>
        <sz val="10"/>
        <rFont val="Yu Gothic"/>
        <family val="0"/>
        <charset val="1"/>
      </rPr>
      <t xml:space="preserve">A = </t>
    </r>
    <r>
      <rPr>
        <sz val="10"/>
        <rFont val="WenQuanYi Zen Hei"/>
        <family val="2"/>
      </rPr>
      <t xml:space="preserve">共通 </t>
    </r>
    <r>
      <rPr>
        <sz val="10"/>
        <rFont val="Yu Gothic"/>
        <family val="0"/>
        <charset val="1"/>
      </rPr>
      <t xml:space="preserve">+ </t>
    </r>
    <r>
      <rPr>
        <sz val="10"/>
        <rFont val="WenQuanYi Zen Hei"/>
        <family val="2"/>
      </rPr>
      <t xml:space="preserve">空席　　満席時 </t>
    </r>
    <r>
      <rPr>
        <sz val="10"/>
        <rFont val="Yu Gothic"/>
        <family val="0"/>
        <charset val="1"/>
      </rPr>
      <t xml:space="preserve">A = </t>
    </r>
    <r>
      <rPr>
        <sz val="10"/>
        <rFont val="WenQuanYi Zen Hei"/>
        <family val="2"/>
      </rPr>
      <t xml:space="preserve">共通 </t>
    </r>
    <r>
      <rPr>
        <sz val="10"/>
        <rFont val="Yu Gothic"/>
        <family val="0"/>
        <charset val="1"/>
      </rPr>
      <t xml:space="preserve">+ </t>
    </r>
    <r>
      <rPr>
        <sz val="10"/>
        <rFont val="WenQuanYi Zen Hei"/>
        <family val="2"/>
      </rPr>
      <t xml:space="preserve">満席</t>
    </r>
  </si>
  <si>
    <r>
      <rPr>
        <sz val="10"/>
        <rFont val="WenQuanYi Zen Hei"/>
        <family val="2"/>
      </rPr>
      <t xml:space="preserve">  全表面積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区分「共通」の面積の合計（</t>
    </r>
    <r>
      <rPr>
        <sz val="10"/>
        <rFont val="Yu Gothic"/>
        <family val="0"/>
        <charset val="1"/>
      </rPr>
      <t xml:space="preserve">p.7</t>
    </r>
    <r>
      <rPr>
        <sz val="10"/>
        <rFont val="WenQuanYi Zen Hei"/>
        <family val="2"/>
      </rPr>
      <t xml:space="preserve">と同じく椅子の面積は含めない扱い。椅子は床面の上に載る「吸音体」として別計上）</t>
    </r>
  </si>
  <si>
    <t xml:space="preserve">■ 使い方の手順</t>
  </si>
  <si>
    <r>
      <rPr>
        <sz val="10"/>
        <rFont val="Yu Gothic"/>
        <family val="0"/>
        <charset val="1"/>
      </rPr>
      <t xml:space="preserve">  1. </t>
    </r>
    <r>
      <rPr>
        <sz val="10"/>
        <rFont val="WenQuanYi Zen Hei"/>
        <family val="2"/>
      </rPr>
      <t xml:space="preserve">使いたい材料が材料</t>
    </r>
    <r>
      <rPr>
        <sz val="10"/>
        <rFont val="Yu Gothic"/>
        <family val="0"/>
        <charset val="1"/>
      </rPr>
      <t xml:space="preserve">DB</t>
    </r>
    <r>
      <rPr>
        <sz val="10"/>
        <rFont val="WenQuanYi Zen Hei"/>
        <family val="2"/>
      </rPr>
      <t xml:space="preserve">に無ければ、教科書・資料の吸音率表から材料名と</t>
    </r>
    <r>
      <rPr>
        <sz val="10"/>
        <rFont val="Yu Gothic"/>
        <family val="0"/>
        <charset val="1"/>
      </rPr>
      <t xml:space="preserve">α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6</t>
    </r>
    <r>
      <rPr>
        <sz val="10"/>
        <rFont val="WenQuanYi Zen Hei"/>
        <family val="2"/>
      </rPr>
      <t xml:space="preserve">周波数）を空き行に追加</t>
    </r>
  </si>
  <si>
    <r>
      <rPr>
        <sz val="10"/>
        <rFont val="Yu Gothic"/>
        <family val="0"/>
        <charset val="1"/>
      </rPr>
      <t xml:space="preserve">  2. </t>
    </r>
    <r>
      <rPr>
        <sz val="10"/>
        <rFont val="WenQuanYi Zen Hei"/>
        <family val="2"/>
      </rPr>
      <t xml:space="preserve">「自分の計画」で、各部位の 部位名／材料（プルダウン）／区分／面積 を入力。不要な行は材料欄を空にすれば計算から外れます</t>
    </r>
  </si>
  <si>
    <r>
      <rPr>
        <sz val="10"/>
        <rFont val="Yu Gothic"/>
        <family val="0"/>
        <charset val="1"/>
      </rPr>
      <t xml:space="preserve">  3. </t>
    </r>
    <r>
      <rPr>
        <sz val="10"/>
        <rFont val="WenQuanYi Zen Hei"/>
        <family val="2"/>
      </rPr>
      <t xml:space="preserve">室容積</t>
    </r>
    <r>
      <rPr>
        <sz val="10"/>
        <rFont val="Yu Gothic"/>
        <family val="0"/>
        <charset val="1"/>
      </rPr>
      <t xml:space="preserve">V </t>
    </r>
    <r>
      <rPr>
        <sz val="10"/>
        <rFont val="WenQuanYi Zen Hei"/>
        <family val="2"/>
      </rPr>
      <t xml:space="preserve">を入力</t>
    </r>
  </si>
  <si>
    <r>
      <rPr>
        <sz val="10"/>
        <rFont val="Yu Gothic"/>
        <family val="0"/>
        <charset val="1"/>
      </rPr>
      <t xml:space="preserve">  4. </t>
    </r>
    <r>
      <rPr>
        <sz val="10"/>
        <rFont val="WenQuanYi Zen Hei"/>
        <family val="2"/>
      </rPr>
      <t xml:space="preserve">図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から読み取った</t>
    </r>
    <r>
      <rPr>
        <sz val="10"/>
        <rFont val="Yu Gothic"/>
        <family val="0"/>
        <charset val="1"/>
      </rPr>
      <t xml:space="preserve">500Hz</t>
    </r>
    <r>
      <rPr>
        <sz val="10"/>
        <rFont val="WenQuanYi Zen Hei"/>
        <family val="2"/>
      </rPr>
      <t xml:space="preserve">の最適残響時間を入力 → 判定欄で範囲内か確認。外れていたら材料を変えて調整</t>
    </r>
  </si>
  <si>
    <r>
      <rPr>
        <sz val="10"/>
        <rFont val="Yu Gothic"/>
        <family val="0"/>
        <charset val="1"/>
      </rPr>
      <t xml:space="preserve">  5. </t>
    </r>
    <r>
      <rPr>
        <sz val="10"/>
        <rFont val="WenQuanYi Zen Hei"/>
        <family val="2"/>
      </rPr>
      <t xml:space="preserve">表と下のグラフ（＝図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相当）をコピーしてレポートに貼り付け（「図として貼り付け」がきれいです）</t>
    </r>
  </si>
  <si>
    <t xml:space="preserve">残響時間計算表（自分の計画）　黄色セルを変えると結果とグラフが自動で変わります</t>
  </si>
  <si>
    <r>
      <rPr>
        <sz val="10"/>
        <rFont val="WenQuanYi Zen Hei"/>
        <family val="2"/>
      </rPr>
      <t xml:space="preserve">表</t>
    </r>
    <r>
      <rPr>
        <sz val="10"/>
        <rFont val="Yu Gothic"/>
        <family val="0"/>
        <charset val="1"/>
      </rPr>
      <t xml:space="preserve">1 </t>
    </r>
    <r>
      <rPr>
        <sz val="10"/>
        <rFont val="WenQuanYi Zen Hei"/>
        <family val="2"/>
      </rPr>
      <t xml:space="preserve">建物の内装計画と残響時間計算表</t>
    </r>
  </si>
  <si>
    <t xml:space="preserve">部位</t>
  </si>
  <si>
    <t xml:space="preserve">仕上げ材料</t>
  </si>
  <si>
    <t xml:space="preserve">区分</t>
  </si>
  <si>
    <r>
      <rPr>
        <b val="true"/>
        <sz val="10"/>
        <rFont val="WenQuanYi Zen Hei"/>
        <family val="2"/>
      </rPr>
      <t xml:space="preserve">面積</t>
    </r>
    <r>
      <rPr>
        <b val="true"/>
        <sz val="10"/>
        <rFont val="Yu Gothic"/>
        <family val="0"/>
        <charset val="1"/>
      </rPr>
      <t xml:space="preserve">[m²]</t>
    </r>
  </si>
  <si>
    <t xml:space="preserve">125Hz</t>
  </si>
  <si>
    <t xml:space="preserve">250Hz</t>
  </si>
  <si>
    <t xml:space="preserve">500Hz</t>
  </si>
  <si>
    <t xml:space="preserve">1kHz</t>
  </si>
  <si>
    <t xml:space="preserve">2kHz</t>
  </si>
  <si>
    <t xml:space="preserve">4kHz</t>
  </si>
  <si>
    <t xml:space="preserve">面積の根拠・メモ</t>
  </si>
  <si>
    <t xml:space="preserve">α</t>
  </si>
  <si>
    <t xml:space="preserve">Sα</t>
  </si>
  <si>
    <t xml:space="preserve">床（通路）</t>
  </si>
  <si>
    <r>
      <rPr>
        <sz val="10"/>
        <color rgb="FF0000FF"/>
        <rFont val="Yu Gothic"/>
        <family val="0"/>
        <charset val="1"/>
      </rPr>
      <t xml:space="preserve">[09] </t>
    </r>
    <r>
      <rPr>
        <sz val="10"/>
        <color rgb="FF0000FF"/>
        <rFont val="WenQuanYi Zen Hei"/>
        <family val="2"/>
      </rPr>
      <t xml:space="preserve">タフテッドカーペット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パイル長</t>
    </r>
    <r>
      <rPr>
        <sz val="10"/>
        <color rgb="FF0000FF"/>
        <rFont val="Yu Gothic"/>
        <family val="0"/>
        <charset val="1"/>
      </rPr>
      <t xml:space="preserve">3.5-8)</t>
    </r>
  </si>
  <si>
    <t xml:space="preserve">共通</t>
  </si>
  <si>
    <r>
      <rPr>
        <sz val="9"/>
        <color rgb="FF666666"/>
        <rFont val="WenQuanYi Zen Hei"/>
        <family val="2"/>
      </rPr>
      <t xml:space="preserve">床</t>
    </r>
    <r>
      <rPr>
        <sz val="9"/>
        <color rgb="FF666666"/>
        <rFont val="Yu Gothic"/>
        <family val="0"/>
        <charset val="1"/>
      </rPr>
      <t xml:space="preserve">252m²</t>
    </r>
    <r>
      <rPr>
        <sz val="9"/>
        <color rgb="FF666666"/>
        <rFont val="WenQuanYi Zen Hei"/>
        <family val="2"/>
      </rPr>
      <t xml:space="preserve">から客席部分を引いた残り</t>
    </r>
  </si>
  <si>
    <t xml:space="preserve">天井</t>
  </si>
  <si>
    <r>
      <rPr>
        <sz val="10"/>
        <color rgb="FF0000FF"/>
        <rFont val="Yu Gothic"/>
        <family val="0"/>
        <charset val="1"/>
      </rPr>
      <t xml:space="preserve">[19] Wood Panel 9 AS_90</t>
    </r>
    <r>
      <rPr>
        <sz val="10"/>
        <color rgb="FF0000FF"/>
        <rFont val="WenQuanYi Zen Hei"/>
        <family val="2"/>
      </rPr>
      <t xml:space="preserve">以上</t>
    </r>
  </si>
  <si>
    <r>
      <rPr>
        <sz val="9"/>
        <color rgb="FF666666"/>
        <rFont val="WenQuanYi Zen Hei"/>
        <family val="2"/>
      </rPr>
      <t xml:space="preserve">天井</t>
    </r>
    <r>
      <rPr>
        <sz val="9"/>
        <color rgb="FF666666"/>
        <rFont val="Yu Gothic"/>
        <family val="0"/>
        <charset val="1"/>
      </rPr>
      <t xml:space="preserve">252m²</t>
    </r>
    <r>
      <rPr>
        <sz val="9"/>
        <color rgb="FF666666"/>
        <rFont val="WenQuanYi Zen Hei"/>
        <family val="2"/>
      </rPr>
      <t xml:space="preserve">から投光室開口を引いた残り</t>
    </r>
  </si>
  <si>
    <t xml:space="preserve">天井投光室</t>
  </si>
  <si>
    <r>
      <rPr>
        <sz val="10"/>
        <color rgb="FF0000FF"/>
        <rFont val="Yu Gothic"/>
        <family val="0"/>
        <charset val="1"/>
      </rPr>
      <t xml:space="preserve">[61] </t>
    </r>
    <r>
      <rPr>
        <sz val="10"/>
        <color rgb="FF0000FF"/>
        <rFont val="WenQuanYi Zen Hei"/>
        <family val="2"/>
      </rPr>
      <t xml:space="preserve">開口部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吸音材なし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</si>
  <si>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【仮】幅</t>
    </r>
    <r>
      <rPr>
        <sz val="9"/>
        <color rgb="FF666666"/>
        <rFont val="Yu Gothic"/>
        <family val="0"/>
        <charset val="1"/>
      </rPr>
      <t xml:space="preserve">18m×</t>
    </r>
    <r>
      <rPr>
        <sz val="9"/>
        <color rgb="FF666666"/>
        <rFont val="WenQuanYi Zen Hei"/>
        <family val="2"/>
      </rPr>
      <t xml:space="preserve">奥行</t>
    </r>
    <r>
      <rPr>
        <sz val="9"/>
        <color rgb="FF666666"/>
        <rFont val="Yu Gothic"/>
        <family val="0"/>
        <charset val="1"/>
      </rPr>
      <t xml:space="preserve">1m</t>
    </r>
    <r>
      <rPr>
        <sz val="9"/>
        <color rgb="FF666666"/>
        <rFont val="WenQuanYi Zen Hei"/>
        <family val="2"/>
      </rPr>
      <t xml:space="preserve">のスリット開口と仮定→図面で確認</t>
    </r>
  </si>
  <si>
    <t xml:space="preserve">側壁</t>
  </si>
  <si>
    <r>
      <rPr>
        <sz val="10"/>
        <color rgb="FF0000FF"/>
        <rFont val="Yu Gothic"/>
        <family val="0"/>
        <charset val="1"/>
      </rPr>
      <t xml:space="preserve">[88]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木毛セメント板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300</t>
    </r>
  </si>
  <si>
    <r>
      <rPr>
        <sz val="9"/>
        <color rgb="FF666666"/>
        <rFont val="Yu Gothic"/>
        <family val="0"/>
        <charset val="1"/>
      </rPr>
      <t xml:space="preserve">14m×10m×2</t>
    </r>
    <r>
      <rPr>
        <sz val="9"/>
        <color rgb="FF666666"/>
        <rFont val="WenQuanYi Zen Hei"/>
        <family val="2"/>
      </rPr>
      <t xml:space="preserve">面から扉を引いた残り</t>
    </r>
  </si>
  <si>
    <t xml:space="preserve">後壁</t>
  </si>
  <si>
    <r>
      <rPr>
        <sz val="10"/>
        <color rgb="FF0000FF"/>
        <rFont val="Yu Gothic"/>
        <family val="0"/>
        <charset val="1"/>
      </rPr>
      <t xml:space="preserve">[48]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+AS90</t>
    </r>
  </si>
  <si>
    <r>
      <rPr>
        <sz val="9"/>
        <color rgb="FF666666"/>
        <rFont val="Yu Gothic"/>
        <family val="0"/>
        <charset val="1"/>
      </rPr>
      <t xml:space="preserve">18m×10m</t>
    </r>
    <r>
      <rPr>
        <sz val="9"/>
        <color rgb="FF666666"/>
        <rFont val="WenQuanYi Zen Hei"/>
        <family val="2"/>
      </rPr>
      <t xml:space="preserve">から調光室ガラスを引いた残り（エコー防止で吸音）</t>
    </r>
  </si>
  <si>
    <t xml:space="preserve">前壁（舞台側）</t>
  </si>
  <si>
    <r>
      <rPr>
        <sz val="9"/>
        <color rgb="FF666666"/>
        <rFont val="Yu Gothic"/>
        <family val="0"/>
        <charset val="1"/>
      </rPr>
      <t xml:space="preserve">18m×10m</t>
    </r>
    <r>
      <rPr>
        <sz val="9"/>
        <color rgb="FF666666"/>
        <rFont val="WenQuanYi Zen Hei"/>
        <family val="2"/>
      </rPr>
      <t xml:space="preserve">からプロセニアム開口を引いた残り（反射面）</t>
    </r>
  </si>
  <si>
    <t xml:space="preserve">プロセニアム開口</t>
  </si>
  <si>
    <r>
      <rPr>
        <sz val="10"/>
        <color rgb="FF0000FF"/>
        <rFont val="Yu Gothic"/>
        <family val="0"/>
        <charset val="1"/>
      </rPr>
      <t xml:space="preserve">[64] </t>
    </r>
    <r>
      <rPr>
        <sz val="10"/>
        <color rgb="FF0000FF"/>
        <rFont val="WenQuanYi Zen Hei"/>
        <family val="2"/>
      </rPr>
      <t xml:space="preserve">プロセニアム開口</t>
    </r>
  </si>
  <si>
    <t xml:space="preserve">扉</t>
  </si>
  <si>
    <r>
      <rPr>
        <sz val="10"/>
        <color rgb="FF0000FF"/>
        <rFont val="Yu Gothic"/>
        <family val="0"/>
        <charset val="1"/>
      </rPr>
      <t xml:space="preserve">[66] </t>
    </r>
    <r>
      <rPr>
        <sz val="10"/>
        <color rgb="FF0000FF"/>
        <rFont val="WenQuanYi Zen Hei"/>
        <family val="2"/>
      </rPr>
      <t xml:space="preserve">ドア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ビニールレザー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</si>
  <si>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【仮】両開き扉 </t>
    </r>
    <r>
      <rPr>
        <sz val="9"/>
        <color rgb="FF666666"/>
        <rFont val="Yu Gothic"/>
        <family val="0"/>
        <charset val="1"/>
      </rPr>
      <t xml:space="preserve">1.8m×2.1m×6</t>
    </r>
    <r>
      <rPr>
        <sz val="9"/>
        <color rgb="FF666666"/>
        <rFont val="WenQuanYi Zen Hei"/>
        <family val="2"/>
      </rPr>
      <t xml:space="preserve">か所→図面で確認</t>
    </r>
  </si>
  <si>
    <t xml:space="preserve">音響・調光室</t>
  </si>
  <si>
    <r>
      <rPr>
        <sz val="10"/>
        <color rgb="FF0000FF"/>
        <rFont val="Yu Gothic"/>
        <family val="0"/>
        <charset val="1"/>
      </rPr>
      <t xml:space="preserve">[05] </t>
    </r>
    <r>
      <rPr>
        <sz val="10"/>
        <color rgb="FF0000FF"/>
        <rFont val="WenQuanYi Zen Hei"/>
        <family val="2"/>
      </rPr>
      <t xml:space="preserve">ガラス窓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大版</t>
    </r>
    <r>
      <rPr>
        <sz val="10"/>
        <color rgb="FF0000FF"/>
        <rFont val="Yu Gothic"/>
        <family val="0"/>
        <charset val="1"/>
      </rPr>
      <t xml:space="preserve">)</t>
    </r>
  </si>
  <si>
    <t xml:space="preserve">椅子</t>
  </si>
  <si>
    <r>
      <rPr>
        <sz val="10"/>
        <color rgb="FF0000FF"/>
        <rFont val="Yu Gothic"/>
        <family val="0"/>
        <charset val="1"/>
      </rPr>
      <t xml:space="preserve">[74] </t>
    </r>
    <r>
      <rPr>
        <sz val="10"/>
        <color rgb="FF0000FF"/>
        <rFont val="WenQuanYi Zen Hei"/>
        <family val="2"/>
      </rPr>
      <t xml:space="preserve">椅子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モケット張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劇場用</t>
    </r>
  </si>
  <si>
    <t xml:space="preserve">空席</t>
  </si>
  <si>
    <r>
      <rPr>
        <sz val="9"/>
        <color rgb="FF666666"/>
        <rFont val="WenQuanYi Zen Hei"/>
        <family val="2"/>
      </rPr>
      <t xml:space="preserve">【仮】</t>
    </r>
    <r>
      <rPr>
        <sz val="9"/>
        <color rgb="FF666666"/>
        <rFont val="Yu Gothic"/>
        <family val="0"/>
        <charset val="1"/>
      </rPr>
      <t xml:space="preserve">300</t>
    </r>
    <r>
      <rPr>
        <sz val="9"/>
        <color rgb="FF666666"/>
        <rFont val="WenQuanYi Zen Hei"/>
        <family val="2"/>
      </rPr>
      <t xml:space="preserve">席</t>
    </r>
    <r>
      <rPr>
        <sz val="9"/>
        <color rgb="FF666666"/>
        <rFont val="Yu Gothic"/>
        <family val="0"/>
        <charset val="1"/>
      </rPr>
      <t xml:space="preserve">×0.5m²/</t>
    </r>
    <r>
      <rPr>
        <sz val="9"/>
        <color rgb="FF666666"/>
        <rFont val="WenQuanYi Zen Hei"/>
        <family val="2"/>
      </rPr>
      <t xml:space="preserve">席（客席部分の床面積）→図面で確認</t>
    </r>
  </si>
  <si>
    <t xml:space="preserve">椅子＋人</t>
  </si>
  <si>
    <r>
      <rPr>
        <sz val="10"/>
        <color rgb="FF0000FF"/>
        <rFont val="Yu Gothic"/>
        <family val="0"/>
        <charset val="1"/>
      </rPr>
      <t xml:space="preserve">[78] </t>
    </r>
    <r>
      <rPr>
        <sz val="10"/>
        <color rgb="FF0000FF"/>
        <rFont val="WenQuanYi Zen Hei"/>
        <family val="2"/>
      </rPr>
      <t xml:space="preserve">劇場用イス </t>
    </r>
    <r>
      <rPr>
        <sz val="10"/>
        <color rgb="FF0000FF"/>
        <rFont val="Yu Gothic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ヒト</t>
    </r>
  </si>
  <si>
    <t xml:space="preserve">満席</t>
  </si>
  <si>
    <t xml:space="preserve">椅子と同じ面積</t>
  </si>
  <si>
    <t xml:space="preserve">全表面積</t>
  </si>
  <si>
    <t xml:space="preserve">m²</t>
  </si>
  <si>
    <r>
      <rPr>
        <sz val="11"/>
        <color theme="1"/>
        <rFont val="WenQuanYi Zen Hei"/>
        <family val="2"/>
      </rPr>
      <t xml:space="preserve">椅子含む</t>
    </r>
    <r>
      <rPr>
        <sz val="11"/>
        <color theme="1"/>
        <rFont val="Calibri"/>
        <family val="2"/>
        <charset val="1"/>
      </rPr>
      <t xml:space="preserve">:</t>
    </r>
  </si>
  <si>
    <r>
      <rPr>
        <sz val="9"/>
        <color rgb="FF666666"/>
        <rFont val="WenQuanYi Zen Hei"/>
        <family val="2"/>
      </rPr>
      <t xml:space="preserve">椅子を除く（</t>
    </r>
    <r>
      <rPr>
        <sz val="9"/>
        <color rgb="FF666666"/>
        <rFont val="Yu Gothic"/>
        <family val="0"/>
        <charset val="1"/>
      </rPr>
      <t xml:space="preserve">p.7</t>
    </r>
    <r>
      <rPr>
        <sz val="9"/>
        <color rgb="FF666666"/>
        <rFont val="WenQuanYi Zen Hei"/>
        <family val="2"/>
      </rPr>
      <t xml:space="preserve">と同じ数え方）。椅子の面積も含めた部屋の全表面積 →</t>
    </r>
  </si>
  <si>
    <r>
      <rPr>
        <b val="true"/>
        <sz val="10"/>
        <rFont val="WenQuanYi Zen Hei"/>
        <family val="2"/>
      </rPr>
      <t xml:space="preserve">室容積 </t>
    </r>
    <r>
      <rPr>
        <b val="true"/>
        <sz val="10"/>
        <rFont val="Yu Gothic"/>
        <family val="0"/>
        <charset val="1"/>
      </rPr>
      <t xml:space="preserve">V</t>
    </r>
  </si>
  <si>
    <t xml:space="preserve">m³</t>
  </si>
  <si>
    <r>
      <rPr>
        <b val="true"/>
        <sz val="10"/>
        <rFont val="WenQuanYi Zen Hei"/>
        <family val="2"/>
      </rPr>
      <t xml:space="preserve">総吸音力 </t>
    </r>
    <r>
      <rPr>
        <b val="true"/>
        <sz val="10"/>
        <rFont val="Yu Gothic"/>
        <family val="0"/>
        <charset val="1"/>
      </rPr>
      <t xml:space="preserve">A [m²]</t>
    </r>
  </si>
  <si>
    <t xml:space="preserve">空席時</t>
  </si>
  <si>
    <t xml:space="preserve">満席時</t>
  </si>
  <si>
    <r>
      <rPr>
        <b val="true"/>
        <sz val="10"/>
        <rFont val="WenQuanYi Zen Hei"/>
        <family val="2"/>
      </rPr>
      <t xml:space="preserve">残響時間 </t>
    </r>
    <r>
      <rPr>
        <b val="true"/>
        <sz val="10"/>
        <rFont val="Yu Gothic"/>
        <family val="0"/>
        <charset val="1"/>
      </rPr>
      <t xml:space="preserve">T [</t>
    </r>
    <r>
      <rPr>
        <b val="true"/>
        <sz val="10"/>
        <rFont val="WenQuanYi Zen Hei"/>
        <family val="2"/>
      </rPr>
      <t xml:space="preserve">秒</t>
    </r>
    <r>
      <rPr>
        <b val="true"/>
        <sz val="10"/>
        <rFont val="Yu Gothic"/>
        <family val="0"/>
        <charset val="1"/>
      </rPr>
      <t xml:space="preserve">]</t>
    </r>
  </si>
  <si>
    <r>
      <rPr>
        <b val="true"/>
        <sz val="10"/>
        <rFont val="WenQuanYi Zen Hei"/>
        <family val="2"/>
      </rPr>
      <t xml:space="preserve">グラフ用（図</t>
    </r>
    <r>
      <rPr>
        <b val="true"/>
        <sz val="10"/>
        <rFont val="Yu Gothic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予測された残響時間特性）</t>
    </r>
  </si>
  <si>
    <t xml:space="preserve">周波数</t>
  </si>
  <si>
    <t xml:space="preserve">125</t>
  </si>
  <si>
    <t xml:space="preserve">250</t>
  </si>
  <si>
    <t xml:space="preserve">500</t>
  </si>
  <si>
    <t xml:space="preserve">1k</t>
  </si>
  <si>
    <t xml:space="preserve">2k</t>
  </si>
  <si>
    <t xml:space="preserve">4k</t>
  </si>
  <si>
    <r>
      <rPr>
        <b val="true"/>
        <sz val="10"/>
        <rFont val="WenQuanYi Zen Hei"/>
        <family val="2"/>
      </rPr>
      <t xml:space="preserve">最適残響時間のチェック（図</t>
    </r>
    <r>
      <rPr>
        <b val="true"/>
        <sz val="10"/>
        <rFont val="Yu Gothic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</si>
  <si>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建物の用途</t>
  </si>
  <si>
    <t xml:space="preserve">（ここに用途を記入）</t>
  </si>
  <si>
    <r>
      <rPr>
        <sz val="11"/>
        <color theme="1"/>
        <rFont val="WenQuanYi Zen Hei"/>
        <family val="2"/>
      </rPr>
      <t xml:space="preserve">図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から読んだ</t>
    </r>
    <r>
      <rPr>
        <sz val="11"/>
        <color theme="1"/>
        <rFont val="Calibri"/>
        <family val="2"/>
        <charset val="1"/>
      </rPr>
      <t xml:space="preserve">500Hz</t>
    </r>
    <r>
      <rPr>
        <sz val="11"/>
        <color theme="1"/>
        <rFont val="WenQuanYi Zen Hei"/>
        <family val="2"/>
      </rPr>
      <t xml:space="preserve">の最適残響時間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秒</t>
    </r>
    <r>
      <rPr>
        <sz val="11"/>
        <color theme="1"/>
        <rFont val="Calibri"/>
        <family val="2"/>
        <charset val="1"/>
      </rPr>
      <t xml:space="preserve">]  </t>
    </r>
    <r>
      <rPr>
        <sz val="11"/>
        <color theme="1"/>
        <rFont val="WenQuanYi Zen Hei"/>
        <family val="2"/>
      </rPr>
      <t xml:space="preserve">下限</t>
    </r>
  </si>
  <si>
    <t xml:space="preserve">                                         上限</t>
  </si>
  <si>
    <r>
      <rPr>
        <sz val="11"/>
        <color theme="1"/>
        <rFont val="WenQuanYi Zen Hei"/>
        <family val="2"/>
      </rPr>
      <t xml:space="preserve">計算値 </t>
    </r>
    <r>
      <rPr>
        <sz val="11"/>
        <color theme="1"/>
        <rFont val="Calibri"/>
        <family val="2"/>
        <charset val="1"/>
      </rPr>
      <t xml:space="preserve">500Hz</t>
    </r>
    <r>
      <rPr>
        <sz val="11"/>
        <color theme="1"/>
        <rFont val="WenQuanYi Zen Hei"/>
        <family val="2"/>
      </rPr>
      <t xml:space="preserve">（満席時）</t>
    </r>
  </si>
  <si>
    <t xml:space="preserve">判定</t>
  </si>
  <si>
    <r>
      <rPr>
        <sz val="9"/>
        <color rgb="FF666666"/>
        <rFont val="WenQuanYi Zen Hei"/>
        <family val="2"/>
      </rPr>
      <t xml:space="preserve">※図</t>
    </r>
    <r>
      <rPr>
        <sz val="9"/>
        <color rgb="FF666666"/>
        <rFont val="Yu Gothic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は</t>
    </r>
    <r>
      <rPr>
        <sz val="9"/>
        <color rgb="FF666666"/>
        <rFont val="Yu Gothic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本の線</t>
    </r>
    <r>
      <rPr>
        <sz val="9"/>
        <color rgb="FF666666"/>
        <rFont val="Yu Gothic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帯なので、自分の用途・室容積の位置で読み取った値の</t>
    </r>
    <r>
      <rPr>
        <sz val="9"/>
        <color rgb="FF666666"/>
        <rFont val="Yu Gothic"/>
        <family val="0"/>
        <charset val="1"/>
      </rPr>
      <t xml:space="preserve">±0.1</t>
    </r>
    <r>
      <rPr>
        <sz val="9"/>
        <color rgb="FF666666"/>
        <rFont val="WenQuanYi Zen Hei"/>
        <family val="2"/>
      </rPr>
      <t xml:space="preserve">秒程度を下限・上限にするとよい（自分で判断）。満席時で評価するか空席時で評価するかは授業の指示に従うこと。</t>
    </r>
  </si>
  <si>
    <r>
      <rPr>
        <b val="true"/>
        <sz val="13"/>
        <rFont val="WenQuanYi Zen Hei"/>
        <family val="2"/>
      </rPr>
      <t xml:space="preserve">材料</t>
    </r>
    <r>
      <rPr>
        <b val="true"/>
        <sz val="13"/>
        <rFont val="Yu Gothic"/>
        <family val="0"/>
        <charset val="1"/>
      </rPr>
      <t xml:space="preserve">DB</t>
    </r>
    <r>
      <rPr>
        <b val="true"/>
        <sz val="13"/>
        <rFont val="WenQuanYi Zen Hei"/>
        <family val="2"/>
      </rPr>
      <t xml:space="preserve">（吸音率</t>
    </r>
    <r>
      <rPr>
        <b val="true"/>
        <sz val="13"/>
        <rFont val="Yu Gothic"/>
        <family val="0"/>
        <charset val="1"/>
      </rPr>
      <t xml:space="preserve">α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</si>
  <si>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666666"/>
        <rFont val="WenQuanYi Zen Hei"/>
        <family val="2"/>
      </rPr>
      <t xml:space="preserve">出典：配布資料「各種材料の吸音率」</t>
    </r>
    <r>
      <rPr>
        <sz val="9"/>
        <color rgb="FF666666"/>
        <rFont val="Yu Gothic"/>
        <family val="0"/>
        <charset val="1"/>
      </rPr>
      <t xml:space="preserve">No.1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Yu Gothic"/>
        <family val="0"/>
        <charset val="1"/>
      </rPr>
      <t xml:space="preserve">94</t>
    </r>
    <r>
      <rPr>
        <sz val="9"/>
        <color rgb="FF666666"/>
        <rFont val="WenQuanYi Zen Hei"/>
        <family val="2"/>
      </rPr>
      <t xml:space="preserve">（</t>
    </r>
    <r>
      <rPr>
        <sz val="9"/>
        <color rgb="FF666666"/>
        <rFont val="Yu Gothic"/>
        <family val="0"/>
        <charset val="1"/>
      </rPr>
      <t xml:space="preserve">p.8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Yu Gothic"/>
        <family val="0"/>
        <charset val="1"/>
      </rPr>
      <t xml:space="preserve">10</t>
    </r>
    <r>
      <rPr>
        <sz val="9"/>
        <color rgb="FF666666"/>
        <rFont val="WenQuanYi Zen Hei"/>
        <family val="2"/>
      </rPr>
      <t xml:space="preserve">）。</t>
    </r>
    <r>
      <rPr>
        <sz val="9"/>
        <color rgb="FF666666"/>
        <rFont val="Yu Gothic"/>
        <family val="0"/>
        <charset val="1"/>
      </rPr>
      <t xml:space="preserve">No.80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Yu Gothic"/>
        <family val="0"/>
        <charset val="1"/>
      </rPr>
      <t xml:space="preserve">94</t>
    </r>
    <r>
      <rPr>
        <sz val="9"/>
        <color rgb="FF666666"/>
        <rFont val="WenQuanYi Zen Hei"/>
        <family val="2"/>
      </rPr>
      <t xml:space="preserve">はリブ吸音構造体。自分で使う材料は空き行（黄色）に追加。材料名は重複させないこと（同じ『開口』でも場所で値が違うなら名前を変える）。</t>
    </r>
  </si>
  <si>
    <t xml:space="preserve">No.</t>
  </si>
  <si>
    <t xml:space="preserve">材料名</t>
  </si>
  <si>
    <t xml:space="preserve">出典・メモ</t>
  </si>
  <si>
    <r>
      <rPr>
        <sz val="10"/>
        <color rgb="FF0000FF"/>
        <rFont val="Yu Gothic"/>
        <family val="0"/>
        <charset val="1"/>
      </rPr>
      <t xml:space="preserve">[01] </t>
    </r>
    <r>
      <rPr>
        <sz val="10"/>
        <color rgb="FF0000FF"/>
        <rFont val="WenQuanYi Zen Hei"/>
        <family val="2"/>
      </rPr>
      <t xml:space="preserve">コンクリート打ち放し モルタル・ペイント</t>
    </r>
  </si>
  <si>
    <r>
      <rPr>
        <sz val="9"/>
        <rFont val="WenQuanYi Zen Hei"/>
        <family val="2"/>
      </rPr>
      <t xml:space="preserve">配布資料「各種材料の吸音率」</t>
    </r>
    <r>
      <rPr>
        <sz val="9"/>
        <rFont val="Yu Gothic"/>
        <family val="0"/>
        <charset val="1"/>
      </rPr>
      <t xml:space="preserve">p.8</t>
    </r>
    <r>
      <rPr>
        <sz val="9"/>
        <rFont val="WenQuanYi Zen Hei"/>
        <family val="2"/>
      </rPr>
      <t xml:space="preserve">〜</t>
    </r>
    <r>
      <rPr>
        <sz val="9"/>
        <rFont val="Yu Gothic"/>
        <family val="0"/>
        <charset val="1"/>
      </rPr>
      <t xml:space="preserve">10</t>
    </r>
  </si>
  <si>
    <r>
      <rPr>
        <sz val="10"/>
        <color rgb="FF0000FF"/>
        <rFont val="Yu Gothic"/>
        <family val="0"/>
        <charset val="1"/>
      </rPr>
      <t xml:space="preserve">[02] </t>
    </r>
    <r>
      <rPr>
        <sz val="10"/>
        <color rgb="FF0000FF"/>
        <rFont val="WenQuanYi Zen Hei"/>
        <family val="2"/>
      </rPr>
      <t xml:space="preserve">コンクリート 布クロス張り</t>
    </r>
  </si>
  <si>
    <r>
      <rPr>
        <sz val="10"/>
        <color rgb="FF0000FF"/>
        <rFont val="Yu Gothic"/>
        <family val="0"/>
        <charset val="1"/>
      </rPr>
      <t xml:space="preserve">[03] </t>
    </r>
    <r>
      <rPr>
        <sz val="10"/>
        <color rgb="FF0000FF"/>
        <rFont val="WenQuanYi Zen Hei"/>
        <family val="2"/>
      </rPr>
      <t xml:space="preserve">コンクリート プラスター</t>
    </r>
    <r>
      <rPr>
        <sz val="10"/>
        <color rgb="FF0000FF"/>
        <rFont val="Yu Gothic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吹付</t>
    </r>
  </si>
  <si>
    <r>
      <rPr>
        <sz val="10"/>
        <color rgb="FF0000FF"/>
        <rFont val="Yu Gothic"/>
        <family val="0"/>
        <charset val="1"/>
      </rPr>
      <t xml:space="preserve">[04] </t>
    </r>
    <r>
      <rPr>
        <sz val="10"/>
        <color rgb="FF0000FF"/>
        <rFont val="WenQuanYi Zen Hei"/>
        <family val="2"/>
      </rPr>
      <t xml:space="preserve">軽量コンクリートブロック</t>
    </r>
  </si>
  <si>
    <r>
      <rPr>
        <sz val="10"/>
        <color rgb="FF0000FF"/>
        <rFont val="Yu Gothic"/>
        <family val="0"/>
        <charset val="1"/>
      </rPr>
      <t xml:space="preserve">[06] </t>
    </r>
    <r>
      <rPr>
        <sz val="10"/>
        <color rgb="FF0000FF"/>
        <rFont val="WenQuanYi Zen Hei"/>
        <family val="2"/>
      </rPr>
      <t xml:space="preserve">ガラスブロック</t>
    </r>
  </si>
  <si>
    <r>
      <rPr>
        <sz val="10"/>
        <color rgb="FF0000FF"/>
        <rFont val="Yu Gothic"/>
        <family val="0"/>
        <charset val="1"/>
      </rPr>
      <t xml:space="preserve">[07] </t>
    </r>
    <r>
      <rPr>
        <sz val="10"/>
        <color rgb="FF0000FF"/>
        <rFont val="WenQuanYi Zen Hei"/>
        <family val="2"/>
      </rPr>
      <t xml:space="preserve">合成繊維カーペット</t>
    </r>
  </si>
  <si>
    <r>
      <rPr>
        <sz val="10"/>
        <color rgb="FF0000FF"/>
        <rFont val="Yu Gothic"/>
        <family val="0"/>
        <charset val="1"/>
      </rPr>
      <t xml:space="preserve">[08] </t>
    </r>
    <r>
      <rPr>
        <sz val="10"/>
        <color rgb="FF0000FF"/>
        <rFont val="WenQuanYi Zen Hei"/>
        <family val="2"/>
      </rPr>
      <t xml:space="preserve">タイルカーペット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パイル長</t>
    </r>
    <r>
      <rPr>
        <sz val="10"/>
        <color rgb="FF0000FF"/>
        <rFont val="Yu Gothic"/>
        <family val="0"/>
        <charset val="1"/>
      </rPr>
      <t xml:space="preserve">3.5)</t>
    </r>
  </si>
  <si>
    <r>
      <rPr>
        <sz val="10"/>
        <color rgb="FF0000FF"/>
        <rFont val="Yu Gothic"/>
        <family val="0"/>
        <charset val="1"/>
      </rPr>
      <t xml:space="preserve">[10] </t>
    </r>
    <r>
      <rPr>
        <sz val="10"/>
        <color rgb="FF0000FF"/>
        <rFont val="WenQuanYi Zen Hei"/>
        <family val="2"/>
      </rPr>
      <t xml:space="preserve">スタイロ畳</t>
    </r>
    <r>
      <rPr>
        <sz val="10"/>
        <color rgb="FF0000FF"/>
        <rFont val="Yu Gothic"/>
        <family val="0"/>
        <charset val="1"/>
      </rPr>
      <t xml:space="preserve">60(RC</t>
    </r>
    <r>
      <rPr>
        <sz val="10"/>
        <color rgb="FF0000FF"/>
        <rFont val="WenQuanYi Zen Hei"/>
        <family val="2"/>
      </rPr>
      <t xml:space="preserve">スラブ直敷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</si>
  <si>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[11] </t>
    </r>
    <r>
      <rPr>
        <sz val="10"/>
        <color rgb="FF0000FF"/>
        <rFont val="WenQuanYi Zen Hei"/>
        <family val="2"/>
      </rPr>
      <t xml:space="preserve">本畳</t>
    </r>
    <r>
      <rPr>
        <sz val="10"/>
        <color rgb="FF0000FF"/>
        <rFont val="Yu Gothic"/>
        <family val="0"/>
        <charset val="1"/>
      </rPr>
      <t xml:space="preserve">60(RC</t>
    </r>
    <r>
      <rPr>
        <sz val="10"/>
        <color rgb="FF0000FF"/>
        <rFont val="WenQuanYi Zen Hei"/>
        <family val="2"/>
      </rPr>
      <t xml:space="preserve">スラブ直敷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</si>
  <si>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[12] </t>
    </r>
    <r>
      <rPr>
        <sz val="10"/>
        <color rgb="FF0000FF"/>
        <rFont val="WenQuanYi Zen Hei"/>
        <family val="2"/>
      </rPr>
      <t xml:space="preserve">本畳</t>
    </r>
    <r>
      <rPr>
        <sz val="10"/>
        <color rgb="FF0000FF"/>
        <rFont val="Yu Gothic"/>
        <family val="0"/>
        <charset val="1"/>
      </rPr>
      <t xml:space="preserve">60(</t>
    </r>
    <r>
      <rPr>
        <sz val="10"/>
        <color rgb="FF0000FF"/>
        <rFont val="WenQuanYi Zen Hei"/>
        <family val="2"/>
      </rPr>
      <t xml:space="preserve">根太床下地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</si>
  <si>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[13] </t>
    </r>
    <r>
      <rPr>
        <sz val="10"/>
        <color rgb="FF0000FF"/>
        <rFont val="WenQuanYi Zen Hei"/>
        <family val="2"/>
      </rPr>
      <t xml:space="preserve">板張り床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木造下地</t>
    </r>
    <r>
      <rPr>
        <sz val="10"/>
        <color rgb="FF0000FF"/>
        <rFont val="Yu Gothic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・舞台床</t>
    </r>
  </si>
  <si>
    <r>
      <rPr>
        <sz val="10"/>
        <color rgb="FF0000FF"/>
        <rFont val="Yu Gothic"/>
        <family val="0"/>
        <charset val="1"/>
      </rPr>
      <t xml:space="preserve">[14] </t>
    </r>
    <r>
      <rPr>
        <sz val="10"/>
        <color rgb="FF0000FF"/>
        <rFont val="WenQuanYi Zen Hei"/>
        <family val="2"/>
      </rPr>
      <t xml:space="preserve">板</t>
    </r>
    <r>
      <rPr>
        <sz val="10"/>
        <color rgb="FF0000FF"/>
        <rFont val="Yu Gothic"/>
        <family val="0"/>
        <charset val="1"/>
      </rPr>
      <t xml:space="preserve">(RC</t>
    </r>
    <r>
      <rPr>
        <sz val="10"/>
        <color rgb="FF0000FF"/>
        <rFont val="WenQuanYi Zen Hei"/>
        <family val="2"/>
      </rPr>
      <t xml:space="preserve">スラブ直張り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</si>
  <si>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[15] </t>
    </r>
    <r>
      <rPr>
        <sz val="10"/>
        <color rgb="FF0000FF"/>
        <rFont val="WenQuanYi Zen Hei"/>
        <family val="2"/>
      </rPr>
      <t xml:space="preserve">ステージ反射板</t>
    </r>
  </si>
  <si>
    <t xml:space="preserve">[16] Wood Panel 6 AS45</t>
  </si>
  <si>
    <r>
      <rPr>
        <sz val="10"/>
        <color rgb="FF0000FF"/>
        <rFont val="Yu Gothic"/>
        <family val="0"/>
        <charset val="1"/>
      </rPr>
      <t xml:space="preserve">[17] Wood Panel 6 AS_90</t>
    </r>
    <r>
      <rPr>
        <sz val="10"/>
        <color rgb="FF0000FF"/>
        <rFont val="WenQuanYi Zen Hei"/>
        <family val="2"/>
      </rPr>
      <t xml:space="preserve">以上</t>
    </r>
  </si>
  <si>
    <t xml:space="preserve">[18] Wood Panel 9 AS45</t>
  </si>
  <si>
    <t xml:space="preserve">[20] Wood Panel 6 +GW50 +AS45</t>
  </si>
  <si>
    <t xml:space="preserve">[21] Wood Panel 9 +GW50 +AS45</t>
  </si>
  <si>
    <t xml:space="preserve">[22] GW25 16K-24K AS0</t>
  </si>
  <si>
    <t xml:space="preserve">[23] GW25 16K-24K AS275</t>
  </si>
  <si>
    <t xml:space="preserve">[24] GW25 16K-24K AS375</t>
  </si>
  <si>
    <t xml:space="preserve">[25] GW25 16K-24K AS475</t>
  </si>
  <si>
    <t xml:space="preserve">[26] GW25 32K-48K AS0</t>
  </si>
  <si>
    <t xml:space="preserve">[27] GW40 24K-40K AS300</t>
  </si>
  <si>
    <t xml:space="preserve">[28] GW50 32K-40K AS300</t>
  </si>
  <si>
    <t xml:space="preserve">[29] GW50 32K-40K AS100</t>
  </si>
  <si>
    <t xml:space="preserve">[30] GW50 32K-40K AS150</t>
  </si>
  <si>
    <r>
      <rPr>
        <sz val="10"/>
        <color rgb="FF0000FF"/>
        <rFont val="Yu Gothic"/>
        <family val="0"/>
        <charset val="1"/>
      </rPr>
      <t xml:space="preserve">[31] RW25 120K</t>
    </r>
    <r>
      <rPr>
        <sz val="10"/>
        <color rgb="FF0000FF"/>
        <rFont val="WenQuanYi Zen Hei"/>
        <family val="2"/>
      </rPr>
      <t xml:space="preserve">以下 </t>
    </r>
    <r>
      <rPr>
        <sz val="10"/>
        <color rgb="FF0000FF"/>
        <rFont val="Yu Gothic"/>
        <family val="0"/>
        <charset val="1"/>
      </rPr>
      <t xml:space="preserve">AS0</t>
    </r>
  </si>
  <si>
    <r>
      <rPr>
        <sz val="10"/>
        <color rgb="FF0000FF"/>
        <rFont val="Yu Gothic"/>
        <family val="0"/>
        <charset val="1"/>
      </rPr>
      <t xml:space="preserve">[32] RW25 120K</t>
    </r>
    <r>
      <rPr>
        <sz val="10"/>
        <color rgb="FF0000FF"/>
        <rFont val="WenQuanYi Zen Hei"/>
        <family val="2"/>
      </rPr>
      <t xml:space="preserve">以下 </t>
    </r>
    <r>
      <rPr>
        <sz val="10"/>
        <color rgb="FF0000FF"/>
        <rFont val="Yu Gothic"/>
        <family val="0"/>
        <charset val="1"/>
      </rPr>
      <t xml:space="preserve">AS100</t>
    </r>
  </si>
  <si>
    <t xml:space="preserve">[33] RW25 100K AS200</t>
  </si>
  <si>
    <r>
      <rPr>
        <sz val="10"/>
        <color rgb="FF0000FF"/>
        <rFont val="Yu Gothic"/>
        <family val="0"/>
        <charset val="1"/>
      </rPr>
      <t xml:space="preserve">[34] RW50 120K</t>
    </r>
    <r>
      <rPr>
        <sz val="10"/>
        <color rgb="FF0000FF"/>
        <rFont val="WenQuanYi Zen Hei"/>
        <family val="2"/>
      </rPr>
      <t xml:space="preserve">以下 </t>
    </r>
    <r>
      <rPr>
        <sz val="10"/>
        <color rgb="FF0000FF"/>
        <rFont val="Yu Gothic"/>
        <family val="0"/>
        <charset val="1"/>
      </rPr>
      <t xml:space="preserve">AS0</t>
    </r>
  </si>
  <si>
    <r>
      <rPr>
        <sz val="10"/>
        <color rgb="FF0000FF"/>
        <rFont val="Yu Gothic"/>
        <family val="0"/>
        <charset val="1"/>
      </rPr>
      <t xml:space="preserve">[35] RW50 120K</t>
    </r>
    <r>
      <rPr>
        <sz val="10"/>
        <color rgb="FF0000FF"/>
        <rFont val="WenQuanYi Zen Hei"/>
        <family val="2"/>
      </rPr>
      <t xml:space="preserve">以下 </t>
    </r>
    <r>
      <rPr>
        <sz val="10"/>
        <color rgb="FF0000FF"/>
        <rFont val="Yu Gothic"/>
        <family val="0"/>
        <charset val="1"/>
      </rPr>
      <t xml:space="preserve">AS100</t>
    </r>
  </si>
  <si>
    <r>
      <rPr>
        <sz val="10"/>
        <color rgb="FF0000FF"/>
        <rFont val="Yu Gothic"/>
        <family val="0"/>
        <charset val="1"/>
      </rPr>
      <t xml:space="preserve">[36]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 AS45</t>
    </r>
  </si>
  <si>
    <r>
      <rPr>
        <sz val="10"/>
        <color rgb="FF0000FF"/>
        <rFont val="Yu Gothic"/>
        <family val="0"/>
        <charset val="1"/>
      </rPr>
      <t xml:space="preserve">[37]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 AS90</t>
    </r>
  </si>
  <si>
    <r>
      <rPr>
        <sz val="10"/>
        <color rgb="FF0000FF"/>
        <rFont val="Yu Gothic"/>
        <family val="0"/>
        <charset val="1"/>
      </rPr>
      <t xml:space="preserve">[38]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 AS180</t>
    </r>
  </si>
  <si>
    <r>
      <rPr>
        <sz val="10"/>
        <color rgb="FF0000FF"/>
        <rFont val="Yu Gothic"/>
        <family val="0"/>
        <charset val="1"/>
      </rPr>
      <t xml:space="preserve">[39]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 AS500</t>
    </r>
  </si>
  <si>
    <r>
      <rPr>
        <sz val="10"/>
        <color rgb="FF0000FF"/>
        <rFont val="Yu Gothic"/>
        <family val="0"/>
        <charset val="1"/>
      </rPr>
      <t xml:space="preserve">[40]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6φ5 AS45</t>
    </r>
  </si>
  <si>
    <r>
      <rPr>
        <sz val="10"/>
        <color rgb="FF0000FF"/>
        <rFont val="Yu Gothic"/>
        <family val="0"/>
        <charset val="1"/>
      </rPr>
      <t xml:space="preserve">[41]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 AS90</t>
    </r>
  </si>
  <si>
    <r>
      <rPr>
        <sz val="10"/>
        <color rgb="FF0000FF"/>
        <rFont val="Yu Gothic"/>
        <family val="0"/>
        <charset val="1"/>
      </rPr>
      <t xml:space="preserve">[42]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 AS180</t>
    </r>
  </si>
  <si>
    <r>
      <rPr>
        <sz val="10"/>
        <color rgb="FF0000FF"/>
        <rFont val="Yu Gothic"/>
        <family val="0"/>
        <charset val="1"/>
      </rPr>
      <t xml:space="preserve">[43]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 AS500</t>
    </r>
  </si>
  <si>
    <r>
      <rPr>
        <sz val="10"/>
        <color rgb="FF0000FF"/>
        <rFont val="Yu Gothic"/>
        <family val="0"/>
        <charset val="1"/>
      </rPr>
      <t xml:space="preserve">[44]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4φ15+GW50 +AS45</t>
    </r>
  </si>
  <si>
    <r>
      <rPr>
        <sz val="10"/>
        <color rgb="FF0000FF"/>
        <rFont val="Yu Gothic"/>
        <family val="0"/>
        <charset val="1"/>
      </rPr>
      <t xml:space="preserve">[45]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4φ15+GW50 +AS90</t>
    </r>
  </si>
  <si>
    <r>
      <rPr>
        <sz val="10"/>
        <color rgb="FF0000FF"/>
        <rFont val="Yu Gothic"/>
        <family val="0"/>
        <charset val="1"/>
      </rPr>
      <t xml:space="preserve">[46]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4φ15+GW50 +AS180</t>
    </r>
  </si>
  <si>
    <r>
      <rPr>
        <sz val="10"/>
        <color rgb="FF0000FF"/>
        <rFont val="Yu Gothic"/>
        <family val="0"/>
        <charset val="1"/>
      </rPr>
      <t xml:space="preserve">[47]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+AS45</t>
    </r>
  </si>
  <si>
    <r>
      <rPr>
        <sz val="10"/>
        <color rgb="FF0000FF"/>
        <rFont val="Yu Gothic"/>
        <family val="0"/>
        <charset val="1"/>
      </rPr>
      <t xml:space="preserve">[49] PW5_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+AS180</t>
    </r>
  </si>
  <si>
    <r>
      <rPr>
        <sz val="10"/>
        <color rgb="FF0000FF"/>
        <rFont val="Yu Gothic"/>
        <family val="0"/>
        <charset val="1"/>
      </rPr>
      <t xml:space="preserve">[50]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6φ15+GW25 +AS150</t>
    </r>
  </si>
  <si>
    <r>
      <rPr>
        <sz val="10"/>
        <color rgb="FF0000FF"/>
        <rFont val="Yu Gothic"/>
        <family val="0"/>
        <charset val="1"/>
      </rPr>
      <t xml:space="preserve">[51]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+AS150</t>
    </r>
  </si>
  <si>
    <r>
      <rPr>
        <sz val="10"/>
        <color rgb="FF0000FF"/>
        <rFont val="Yu Gothic"/>
        <family val="0"/>
        <charset val="1"/>
      </rPr>
      <t xml:space="preserve">[52]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+AS300</t>
    </r>
  </si>
  <si>
    <r>
      <rPr>
        <sz val="10"/>
        <color rgb="FF0000FF"/>
        <rFont val="Yu Gothic"/>
        <family val="0"/>
        <charset val="1"/>
      </rPr>
      <t xml:space="preserve">[53]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6φ22+GW25 +AS25</t>
    </r>
  </si>
  <si>
    <r>
      <rPr>
        <sz val="10"/>
        <color rgb="FF0000FF"/>
        <rFont val="Yu Gothic"/>
        <family val="0"/>
        <charset val="1"/>
      </rPr>
      <t xml:space="preserve">[54]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6φ22+GW25 +AS150</t>
    </r>
  </si>
  <si>
    <r>
      <rPr>
        <sz val="10"/>
        <color rgb="FF0000FF"/>
        <rFont val="Yu Gothic"/>
        <family val="0"/>
        <charset val="1"/>
      </rPr>
      <t xml:space="preserve">[55] PW9_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6φ22+GW50 +AS150</t>
    </r>
  </si>
  <si>
    <r>
      <rPr>
        <sz val="10"/>
        <color rgb="FF0000FF"/>
        <rFont val="Yu Gothic"/>
        <family val="0"/>
        <charset val="1"/>
      </rPr>
      <t xml:space="preserve">[56] PW12_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 AS500</t>
    </r>
  </si>
  <si>
    <r>
      <rPr>
        <sz val="10"/>
        <color rgb="FF0000FF"/>
        <rFont val="Yu Gothic"/>
        <family val="0"/>
        <charset val="1"/>
      </rPr>
      <t xml:space="preserve">[57] PW12_</t>
    </r>
    <r>
      <rPr>
        <sz val="10"/>
        <color rgb="FF0000FF"/>
        <rFont val="WenQuanYi Zen Hei"/>
        <family val="2"/>
      </rPr>
      <t xml:space="preserve">アナアキ </t>
    </r>
    <r>
      <rPr>
        <sz val="10"/>
        <color rgb="FF0000FF"/>
        <rFont val="Yu Gothic"/>
        <family val="0"/>
        <charset val="1"/>
      </rPr>
      <t xml:space="preserve">6φ15+GW50 +AS500</t>
    </r>
  </si>
  <si>
    <t xml:space="preserve">[58] PM1 5φ8 +GW25 +AS150</t>
  </si>
  <si>
    <t xml:space="preserve">[59] PM1 5φ8 +GW25 +AS200</t>
  </si>
  <si>
    <t xml:space="preserve">[60] PM1 5φ8 +GW25 +AS300</t>
  </si>
  <si>
    <r>
      <rPr>
        <sz val="10"/>
        <color rgb="FF0000FF"/>
        <rFont val="Yu Gothic"/>
        <family val="0"/>
        <charset val="1"/>
      </rPr>
      <t xml:space="preserve">[62] </t>
    </r>
    <r>
      <rPr>
        <sz val="10"/>
        <color rgb="FF0000FF"/>
        <rFont val="WenQuanYi Zen Hei"/>
        <family val="2"/>
      </rPr>
      <t xml:space="preserve">開口部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吸音材あり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</si>
  <si>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[63] </t>
    </r>
    <r>
      <rPr>
        <sz val="10"/>
        <color rgb="FF0000FF"/>
        <rFont val="WenQuanYi Zen Hei"/>
        <family val="2"/>
      </rPr>
      <t xml:space="preserve">換気口</t>
    </r>
    <r>
      <rPr>
        <sz val="10"/>
        <color rgb="FF0000FF"/>
        <rFont val="Yu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ダクト開口部</t>
    </r>
  </si>
  <si>
    <r>
      <rPr>
        <sz val="10"/>
        <color rgb="FF0000FF"/>
        <rFont val="Yu Gothic"/>
        <family val="0"/>
        <charset val="1"/>
      </rPr>
      <t xml:space="preserve">[65] </t>
    </r>
    <r>
      <rPr>
        <sz val="10"/>
        <color rgb="FF0000FF"/>
        <rFont val="WenQuanYi Zen Hei"/>
        <family val="2"/>
      </rPr>
      <t xml:space="preserve">ドア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木製</t>
    </r>
    <r>
      <rPr>
        <sz val="10"/>
        <color rgb="FF0000FF"/>
        <rFont val="Yu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鉄板</t>
    </r>
    <r>
      <rPr>
        <sz val="10"/>
        <color rgb="FF0000FF"/>
        <rFont val="Yu Gothic"/>
        <family val="0"/>
        <charset val="1"/>
      </rPr>
      <t xml:space="preserve">)</t>
    </r>
  </si>
  <si>
    <r>
      <rPr>
        <sz val="10"/>
        <color rgb="FF0000FF"/>
        <rFont val="Yu Gothic"/>
        <family val="0"/>
        <charset val="1"/>
      </rPr>
      <t xml:space="preserve">[67] </t>
    </r>
    <r>
      <rPr>
        <sz val="10"/>
        <color rgb="FF0000FF"/>
        <rFont val="WenQuanYi Zen Hei"/>
        <family val="2"/>
      </rPr>
      <t xml:space="preserve">レースカーテン</t>
    </r>
    <r>
      <rPr>
        <sz val="10"/>
        <color rgb="FF0000FF"/>
        <rFont val="Yu Gothic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倍ヒダ </t>
    </r>
    <r>
      <rPr>
        <sz val="10"/>
        <color rgb="FF0000FF"/>
        <rFont val="Yu Gothic"/>
        <family val="0"/>
        <charset val="1"/>
      </rPr>
      <t xml:space="preserve">AS200</t>
    </r>
  </si>
  <si>
    <r>
      <rPr>
        <sz val="10"/>
        <color rgb="FF0000FF"/>
        <rFont val="Yu Gothic"/>
        <family val="0"/>
        <charset val="1"/>
      </rPr>
      <t xml:space="preserve">[68] </t>
    </r>
    <r>
      <rPr>
        <sz val="10"/>
        <color rgb="FF0000FF"/>
        <rFont val="WenQuanYi Zen Hei"/>
        <family val="2"/>
      </rPr>
      <t xml:space="preserve">暗幕</t>
    </r>
    <r>
      <rPr>
        <sz val="10"/>
        <color rgb="FF0000FF"/>
        <rFont val="Yu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倍ヒダ </t>
    </r>
    <r>
      <rPr>
        <sz val="10"/>
        <color rgb="FF0000FF"/>
        <rFont val="Yu Gothic"/>
        <family val="0"/>
        <charset val="1"/>
      </rPr>
      <t xml:space="preserve">AS1600</t>
    </r>
  </si>
  <si>
    <r>
      <rPr>
        <sz val="10"/>
        <color rgb="FF0000FF"/>
        <rFont val="Yu Gothic"/>
        <family val="0"/>
        <charset val="1"/>
      </rPr>
      <t xml:space="preserve">[69] </t>
    </r>
    <r>
      <rPr>
        <sz val="10"/>
        <color rgb="FF0000FF"/>
        <rFont val="WenQuanYi Zen Hei"/>
        <family val="2"/>
      </rPr>
      <t xml:space="preserve">ビロードカーテン </t>
    </r>
    <r>
      <rPr>
        <sz val="10"/>
        <color rgb="FF0000FF"/>
        <rFont val="Yu Gothic"/>
        <family val="0"/>
        <charset val="1"/>
      </rPr>
      <t xml:space="preserve">AS100</t>
    </r>
  </si>
  <si>
    <r>
      <rPr>
        <sz val="10"/>
        <color rgb="FF0000FF"/>
        <rFont val="Yu Gothic"/>
        <family val="0"/>
        <charset val="1"/>
      </rPr>
      <t xml:space="preserve">[70] </t>
    </r>
    <r>
      <rPr>
        <sz val="10"/>
        <color rgb="FF0000FF"/>
        <rFont val="WenQuanYi Zen Hei"/>
        <family val="2"/>
      </rPr>
      <t xml:space="preserve">ビロードカーテン</t>
    </r>
    <r>
      <rPr>
        <sz val="10"/>
        <color rgb="FF0000FF"/>
        <rFont val="Yu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倍ヒダ</t>
    </r>
  </si>
  <si>
    <r>
      <rPr>
        <sz val="10"/>
        <color rgb="FF0000FF"/>
        <rFont val="Yu Gothic"/>
        <family val="0"/>
        <charset val="1"/>
      </rPr>
      <t xml:space="preserve">[71] </t>
    </r>
    <r>
      <rPr>
        <sz val="10"/>
        <color rgb="FF0000FF"/>
        <rFont val="WenQuanYi Zen Hei"/>
        <family val="2"/>
      </rPr>
      <t xml:space="preserve">コットンカーテン</t>
    </r>
    <r>
      <rPr>
        <sz val="10"/>
        <color rgb="FF0000FF"/>
        <rFont val="Yu Gothic"/>
        <family val="0"/>
        <charset val="1"/>
      </rPr>
      <t xml:space="preserve">1.5</t>
    </r>
    <r>
      <rPr>
        <sz val="10"/>
        <color rgb="FF0000FF"/>
        <rFont val="WenQuanYi Zen Hei"/>
        <family val="2"/>
      </rPr>
      <t xml:space="preserve">倍ヒダ</t>
    </r>
  </si>
  <si>
    <r>
      <rPr>
        <sz val="10"/>
        <color rgb="FF0000FF"/>
        <rFont val="Yu Gothic"/>
        <family val="0"/>
        <charset val="1"/>
      </rPr>
      <t xml:space="preserve">[72] </t>
    </r>
    <r>
      <rPr>
        <sz val="10"/>
        <color rgb="FF0000FF"/>
        <rFont val="WenQuanYi Zen Hei"/>
        <family val="2"/>
      </rPr>
      <t xml:space="preserve">コットンカーテン</t>
    </r>
    <r>
      <rPr>
        <sz val="10"/>
        <color rgb="FF0000FF"/>
        <rFont val="Yu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倍ヒダ</t>
    </r>
  </si>
  <si>
    <r>
      <rPr>
        <sz val="10"/>
        <color rgb="FF0000FF"/>
        <rFont val="Yu Gothic"/>
        <family val="0"/>
        <charset val="1"/>
      </rPr>
      <t xml:space="preserve">[73] </t>
    </r>
    <r>
      <rPr>
        <sz val="10"/>
        <color rgb="FF0000FF"/>
        <rFont val="WenQuanYi Zen Hei"/>
        <family val="2"/>
      </rPr>
      <t xml:space="preserve">ウールカーテン </t>
    </r>
    <r>
      <rPr>
        <sz val="10"/>
        <color rgb="FF0000FF"/>
        <rFont val="Yu Gothic"/>
        <family val="0"/>
        <charset val="1"/>
      </rPr>
      <t xml:space="preserve">AS100</t>
    </r>
  </si>
  <si>
    <r>
      <rPr>
        <sz val="10"/>
        <color rgb="FF0000FF"/>
        <rFont val="Yu Gothic"/>
        <family val="0"/>
        <charset val="1"/>
      </rPr>
      <t xml:space="preserve">[75] </t>
    </r>
    <r>
      <rPr>
        <sz val="10"/>
        <color rgb="FF0000FF"/>
        <rFont val="WenQuanYi Zen Hei"/>
        <family val="2"/>
      </rPr>
      <t xml:space="preserve">イス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ビニールレザー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劇場用</t>
    </r>
  </si>
  <si>
    <r>
      <rPr>
        <sz val="10"/>
        <color rgb="FF0000FF"/>
        <rFont val="Yu Gothic"/>
        <family val="0"/>
        <charset val="1"/>
      </rPr>
      <t xml:space="preserve">[76] </t>
    </r>
    <r>
      <rPr>
        <sz val="10"/>
        <color rgb="FF0000FF"/>
        <rFont val="WenQuanYi Zen Hei"/>
        <family val="2"/>
      </rPr>
      <t xml:space="preserve">ベニヤイス</t>
    </r>
    <r>
      <rPr>
        <sz val="10"/>
        <color rgb="FF0000FF"/>
        <rFont val="Yu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オリタタミイス</t>
    </r>
  </si>
  <si>
    <r>
      <rPr>
        <sz val="10"/>
        <color rgb="FF0000FF"/>
        <rFont val="Yu Gothic"/>
        <family val="0"/>
        <charset val="1"/>
      </rPr>
      <t xml:space="preserve">[77] </t>
    </r>
    <r>
      <rPr>
        <sz val="10"/>
        <color rgb="FF0000FF"/>
        <rFont val="WenQuanYi Zen Hei"/>
        <family val="2"/>
      </rPr>
      <t xml:space="preserve">ベニヤイス </t>
    </r>
    <r>
      <rPr>
        <sz val="10"/>
        <color rgb="FF0000FF"/>
        <rFont val="Yu Gothic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ヒト</t>
    </r>
  </si>
  <si>
    <r>
      <rPr>
        <sz val="10"/>
        <color rgb="FF0000FF"/>
        <rFont val="Yu Gothic"/>
        <family val="0"/>
        <charset val="1"/>
      </rPr>
      <t xml:space="preserve">[79] </t>
    </r>
    <r>
      <rPr>
        <sz val="10"/>
        <color rgb="FF0000FF"/>
        <rFont val="WenQuanYi Zen Hei"/>
        <family val="2"/>
      </rPr>
      <t xml:space="preserve">ヒト</t>
    </r>
  </si>
  <si>
    <r>
      <rPr>
        <sz val="10"/>
        <color rgb="FF0000FF"/>
        <rFont val="Yu Gothic"/>
        <family val="0"/>
        <charset val="1"/>
      </rPr>
      <t xml:space="preserve">[80]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4.5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80</t>
    </r>
  </si>
  <si>
    <r>
      <rPr>
        <sz val="10"/>
        <color rgb="FF0000FF"/>
        <rFont val="Yu Gothic"/>
        <family val="0"/>
        <charset val="1"/>
      </rPr>
      <t xml:space="preserve">[81]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4.5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180</t>
    </r>
  </si>
  <si>
    <r>
      <rPr>
        <sz val="10"/>
        <color rgb="FF0000FF"/>
        <rFont val="Yu Gothic"/>
        <family val="0"/>
        <charset val="1"/>
      </rPr>
      <t xml:space="preserve">[82]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80</t>
    </r>
  </si>
  <si>
    <r>
      <rPr>
        <sz val="10"/>
        <color rgb="FF0000FF"/>
        <rFont val="Yu Gothic"/>
        <family val="0"/>
        <charset val="1"/>
      </rPr>
      <t xml:space="preserve">[83]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180</t>
    </r>
  </si>
  <si>
    <r>
      <rPr>
        <sz val="10"/>
        <color rgb="FF0000FF"/>
        <rFont val="Yu Gothic"/>
        <family val="0"/>
        <charset val="1"/>
      </rPr>
      <t xml:space="preserve">[84]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キャラコ裏張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4.5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80</t>
    </r>
  </si>
  <si>
    <r>
      <rPr>
        <sz val="10"/>
        <color rgb="FF0000FF"/>
        <rFont val="Yu Gothic"/>
        <family val="0"/>
        <charset val="1"/>
      </rPr>
      <t xml:space="preserve">[85]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キャラコ裏張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80</t>
    </r>
  </si>
  <si>
    <r>
      <rPr>
        <sz val="10"/>
        <color rgb="FF0000FF"/>
        <rFont val="Yu Gothic"/>
        <family val="0"/>
        <charset val="1"/>
      </rPr>
      <t xml:space="preserve">[86]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木毛セメント板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4.5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</si>
  <si>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sz val="10"/>
        <color rgb="FF0000FF"/>
        <rFont val="Yu Gothic"/>
        <family val="0"/>
        <charset val="1"/>
      </rPr>
      <t xml:space="preserve">[87]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木リブ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木毛セメント板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</si>
  <si>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sz val="10"/>
        <color rgb="FF0000FF"/>
        <rFont val="Yu Gothic"/>
        <family val="0"/>
        <charset val="1"/>
      </rPr>
      <t xml:space="preserve">[89]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</si>
  <si>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sz val="10"/>
        <color rgb="FF0000FF"/>
        <rFont val="Yu Gothic"/>
        <family val="0"/>
        <charset val="1"/>
      </rPr>
      <t xml:space="preserve">[90]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300</t>
    </r>
  </si>
  <si>
    <r>
      <rPr>
        <sz val="10"/>
        <color rgb="FF0000FF"/>
        <rFont val="Yu Gothic"/>
        <family val="0"/>
        <charset val="1"/>
      </rPr>
      <t xml:space="preserve">[91]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+RW25)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</si>
  <si>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sz val="10"/>
        <color rgb="FF0000FF"/>
        <rFont val="Yu Gothic"/>
        <family val="0"/>
        <charset val="1"/>
      </rPr>
      <t xml:space="preserve">[92]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+RW25)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300</t>
    </r>
  </si>
  <si>
    <r>
      <rPr>
        <sz val="10"/>
        <color rgb="FF0000FF"/>
        <rFont val="Yu Gothic"/>
        <family val="0"/>
        <charset val="1"/>
      </rPr>
      <t xml:space="preserve">[93]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+RW25)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4.5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</si>
  <si>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sz val="10"/>
        <color rgb="FF0000FF"/>
        <rFont val="Yu Gothic"/>
        <family val="0"/>
        <charset val="1"/>
      </rPr>
      <t xml:space="preserve">[94] </t>
    </r>
    <r>
      <rPr>
        <sz val="10"/>
        <color rgb="FF0000FF"/>
        <rFont val="WenQuanYi Zen Hei"/>
        <family val="2"/>
      </rPr>
      <t xml:space="preserve">リブ吸音構造</t>
    </r>
    <r>
      <rPr>
        <sz val="10"/>
        <color rgb="FF0000FF"/>
        <rFont val="Yu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縦リブ</t>
    </r>
    <r>
      <rPr>
        <sz val="10"/>
        <color rgb="FF0000FF"/>
        <rFont val="Yu Gothic"/>
        <family val="0"/>
        <charset val="1"/>
      </rPr>
      <t xml:space="preserve">+RW25) </t>
    </r>
    <r>
      <rPr>
        <sz val="10"/>
        <color rgb="FF0000FF"/>
        <rFont val="WenQuanYi Zen Hei"/>
        <family val="2"/>
      </rPr>
      <t xml:space="preserve">スリット</t>
    </r>
    <r>
      <rPr>
        <sz val="10"/>
        <color rgb="FF0000FF"/>
        <rFont val="Yu Gothic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空気層</t>
    </r>
    <r>
      <rPr>
        <sz val="10"/>
        <color rgb="FF0000FF"/>
        <rFont val="Yu Gothic"/>
        <family val="0"/>
        <charset val="1"/>
      </rPr>
      <t xml:space="preserve">50</t>
    </r>
  </si>
  <si>
    <r>
      <rPr>
        <b val="true"/>
        <sz val="13"/>
        <rFont val="Yu Gothic"/>
        <family val="0"/>
        <charset val="1"/>
      </rPr>
      <t xml:space="preserve">p.7 </t>
    </r>
    <r>
      <rPr>
        <b val="true"/>
        <sz val="13"/>
        <rFont val="WenQuanYi Zen Hei"/>
        <family val="2"/>
      </rPr>
      <t xml:space="preserve">表</t>
    </r>
    <r>
      <rPr>
        <b val="true"/>
        <sz val="13"/>
        <rFont val="Yu Gothic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の再現（検算用・編集不要）</t>
    </r>
  </si>
  <si>
    <t xml:space="preserve">床</t>
  </si>
  <si>
    <r>
      <rPr>
        <sz val="9"/>
        <color rgb="FF666666"/>
        <rFont val="WenQuanYi Zen Hei"/>
        <family val="2"/>
      </rPr>
      <t xml:space="preserve">資料は「板張り</t>
    </r>
    <r>
      <rPr>
        <sz val="9"/>
        <color rgb="FF666666"/>
        <rFont val="Yu Gothic"/>
        <family val="0"/>
        <charset val="1"/>
      </rPr>
      <t xml:space="preserve">6+</t>
    </r>
    <r>
      <rPr>
        <sz val="9"/>
        <color rgb="FF666666"/>
        <rFont val="WenQuanYi Zen Hei"/>
        <family val="2"/>
      </rPr>
      <t xml:space="preserve">空気層</t>
    </r>
    <r>
      <rPr>
        <sz val="9"/>
        <color rgb="FF666666"/>
        <rFont val="Yu Gothic"/>
        <family val="0"/>
        <charset val="1"/>
      </rPr>
      <t xml:space="preserve">100</t>
    </r>
    <r>
      <rPr>
        <sz val="9"/>
        <color rgb="FF666666"/>
        <rFont val="WenQuanYi Zen Hei"/>
        <family val="2"/>
      </rPr>
      <t xml:space="preserve">」</t>
    </r>
  </si>
  <si>
    <t xml:space="preserve">壁面</t>
  </si>
  <si>
    <r>
      <rPr>
        <sz val="9"/>
        <color rgb="FF666666"/>
        <rFont val="WenQuanYi Zen Hei"/>
        <family val="2"/>
      </rPr>
      <t xml:space="preserve">資料は「板張り</t>
    </r>
    <r>
      <rPr>
        <sz val="9"/>
        <color rgb="FF666666"/>
        <rFont val="Yu Gothic"/>
        <family val="0"/>
        <charset val="1"/>
      </rPr>
      <t xml:space="preserve">9+</t>
    </r>
    <r>
      <rPr>
        <sz val="9"/>
        <color rgb="FF666666"/>
        <rFont val="WenQuanYi Zen Hei"/>
        <family val="2"/>
      </rPr>
      <t xml:space="preserve">空気層</t>
    </r>
    <r>
      <rPr>
        <sz val="9"/>
        <color rgb="FF666666"/>
        <rFont val="Yu Gothic"/>
        <family val="0"/>
        <charset val="1"/>
      </rPr>
      <t xml:space="preserve">90</t>
    </r>
    <r>
      <rPr>
        <sz val="9"/>
        <color rgb="FF666666"/>
        <rFont val="WenQuanYi Zen Hei"/>
        <family val="2"/>
      </rPr>
      <t xml:space="preserve">」</t>
    </r>
  </si>
  <si>
    <r>
      <rPr>
        <sz val="9"/>
        <color rgb="FF666666"/>
        <rFont val="WenQuanYi Zen Hei"/>
        <family val="2"/>
      </rPr>
      <t xml:space="preserve">資料は「板張り</t>
    </r>
    <r>
      <rPr>
        <sz val="9"/>
        <color rgb="FF666666"/>
        <rFont val="Yu Gothic"/>
        <family val="0"/>
        <charset val="1"/>
      </rPr>
      <t xml:space="preserve">9+</t>
    </r>
    <r>
      <rPr>
        <sz val="9"/>
        <color rgb="FF666666"/>
        <rFont val="WenQuanYi Zen Hei"/>
        <family val="2"/>
      </rPr>
      <t xml:space="preserve">空気層</t>
    </r>
    <r>
      <rPr>
        <sz val="9"/>
        <color rgb="FF666666"/>
        <rFont val="Yu Gothic"/>
        <family val="0"/>
        <charset val="1"/>
      </rPr>
      <t xml:space="preserve">45</t>
    </r>
    <r>
      <rPr>
        <sz val="9"/>
        <color rgb="FF666666"/>
        <rFont val="WenQuanYi Zen Hei"/>
        <family val="2"/>
      </rPr>
      <t xml:space="preserve">」</t>
    </r>
  </si>
  <si>
    <t xml:space="preserve">音響調整室</t>
  </si>
  <si>
    <r>
      <rPr>
        <b val="true"/>
        <sz val="10"/>
        <rFont val="Yu Gothic"/>
        <family val="0"/>
        <charset val="1"/>
      </rPr>
      <t xml:space="preserve">p.7</t>
    </r>
    <r>
      <rPr>
        <b val="true"/>
        <sz val="10"/>
        <rFont val="WenQuanYi Zen Hei"/>
        <family val="2"/>
      </rPr>
      <t xml:space="preserve">資料との照合（差が</t>
    </r>
    <r>
      <rPr>
        <b val="true"/>
        <sz val="10"/>
        <rFont val="Yu Gothic"/>
        <family val="0"/>
        <charset val="1"/>
      </rPr>
      <t xml:space="preserve">±0.01</t>
    </r>
    <r>
      <rPr>
        <b val="true"/>
        <sz val="10"/>
        <rFont val="WenQuanYi Zen Hei"/>
        <family val="2"/>
      </rPr>
      <t xml:space="preserve">以内なら</t>
    </r>
    <r>
      <rPr>
        <b val="true"/>
        <sz val="10"/>
        <rFont val="Yu Gothic"/>
        <family val="0"/>
        <charset val="1"/>
      </rPr>
      <t xml:space="preserve">OK</t>
    </r>
    <r>
      <rPr>
        <b val="true"/>
        <sz val="10"/>
        <rFont val="WenQuanYi Zen Hei"/>
        <family val="2"/>
      </rPr>
      <t xml:space="preserve">）</t>
    </r>
  </si>
  <si>
    <t xml:space="preserve">総吸音力 空席（資料値）</t>
  </si>
  <si>
    <t xml:space="preserve">総吸音力 空席（判定）</t>
  </si>
  <si>
    <t xml:space="preserve">総吸音力 満席（資料値）</t>
  </si>
  <si>
    <t xml:space="preserve">総吸音力 満席（判定）</t>
  </si>
  <si>
    <t xml:space="preserve">残響時間 空席（資料値）</t>
  </si>
  <si>
    <t xml:space="preserve">残響時間 空席（判定）</t>
  </si>
  <si>
    <t xml:space="preserve">残響時間 満席（資料値）</t>
  </si>
  <si>
    <t xml:space="preserve">残響時間 満席（判定）</t>
  </si>
  <si>
    <r>
      <rPr>
        <sz val="9"/>
        <color rgb="FF666666"/>
        <rFont val="WenQuanYi Zen Hei"/>
        <family val="2"/>
      </rPr>
      <t xml:space="preserve">資料値は配布資料</t>
    </r>
    <r>
      <rPr>
        <sz val="9"/>
        <color rgb="FF666666"/>
        <rFont val="Yu Gothic"/>
        <family val="0"/>
        <charset val="1"/>
      </rPr>
      <t xml:space="preserve">p.7 </t>
    </r>
    <r>
      <rPr>
        <sz val="9"/>
        <color rgb="FF666666"/>
        <rFont val="WenQuanYi Zen Hei"/>
        <family val="2"/>
      </rPr>
      <t xml:space="preserve">表</t>
    </r>
    <r>
      <rPr>
        <sz val="9"/>
        <color rgb="FF666666"/>
        <rFont val="Yu Gothic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から転記（小数第</t>
    </r>
    <r>
      <rPr>
        <sz val="9"/>
        <color rgb="FF666666"/>
        <rFont val="Yu Gothic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位で丸め済みのため</t>
    </r>
    <r>
      <rPr>
        <sz val="9"/>
        <color rgb="FF666666"/>
        <rFont val="Yu Gothic"/>
        <family val="0"/>
        <charset val="1"/>
      </rPr>
      <t xml:space="preserve">±0.01</t>
    </r>
    <r>
      <rPr>
        <sz val="9"/>
        <color rgb="FF666666"/>
        <rFont val="WenQuanYi Zen Hei"/>
        <family val="2"/>
      </rPr>
      <t xml:space="preserve">の差は許容）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</si>
</sst>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0"/>
    <numFmt numFmtId="167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Yu Gothic"/>
      <family val="0"/>
      <charset val="1"/>
    </font>
    <font>
      <sz val="10"/>
      <name val="Yu Gothic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name val="Yu Gothic"/>
      <family val="0"/>
      <charset val="1"/>
    </font>
    <font>
      <b val="true"/>
      <sz val="13"/>
      <name val="WenQuanYi Zen Hei"/>
      <family val="2"/>
    </font>
    <font>
      <sz val="10"/>
      <color rgb="FF0000FF"/>
      <name val="WenQuanYi Zen Hei"/>
      <family val="2"/>
    </font>
    <font>
      <sz val="10"/>
      <color rgb="FF0000FF"/>
      <name val="Yu Gothic"/>
      <family val="0"/>
      <charset val="1"/>
    </font>
    <font>
      <sz val="9"/>
      <color rgb="FF666666"/>
      <name val="WenQuanYi Zen Hei"/>
      <family val="2"/>
    </font>
    <font>
      <sz val="9"/>
      <color rgb="FF666666"/>
      <name val="Yu Gothic"/>
      <family val="0"/>
      <charset val="1"/>
    </font>
    <font>
      <sz val="11"/>
      <color theme="1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  <font>
      <b val="true"/>
      <sz val="13"/>
      <name val="Yu Gothic"/>
      <family val="0"/>
      <charset val="1"/>
    </font>
    <font>
      <sz val="9"/>
      <name val="WenQuanYi Zen Hei"/>
      <family val="2"/>
    </font>
    <font>
      <sz val="9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予測された残響時間特性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自分の計画!B37</c:f>
              <c:strCache>
                <c:ptCount val="1"/>
                <c:pt idx="0">
                  <c:v>空席時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自分の計画!$A$38:$A$43</c:f>
              <c:strCache>
                <c:ptCount val="6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</c:strCache>
            </c:strRef>
          </c:cat>
          <c:val>
            <c:numRef>
              <c:f>自分の計画!$B$38:$B$43</c:f>
              <c:numCache>
                <c:formatCode>0.00</c:formatCode>
                <c:ptCount val="6"/>
                <c:pt idx="0">
                  <c:v>1.47767003100468</c:v>
                </c:pt>
                <c:pt idx="1">
                  <c:v>1.24225133406455</c:v>
                </c:pt>
                <c:pt idx="2">
                  <c:v>1.11583298371305</c:v>
                </c:pt>
                <c:pt idx="3">
                  <c:v>1.10827689330636</c:v>
                </c:pt>
                <c:pt idx="4">
                  <c:v>1.18021730985388</c:v>
                </c:pt>
                <c:pt idx="5">
                  <c:v>1.23752196049015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自分の計画!C37</c:f>
              <c:strCache>
                <c:ptCount val="1"/>
                <c:pt idx="0">
                  <c:v>満席時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自分の計画!$A$38:$A$43</c:f>
              <c:strCache>
                <c:ptCount val="6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</c:strCache>
            </c:strRef>
          </c:cat>
          <c:val>
            <c:numRef>
              <c:f>自分の計画!$C$38:$C$43</c:f>
              <c:numCache>
                <c:formatCode>0.00</c:formatCode>
                <c:ptCount val="6"/>
                <c:pt idx="0">
                  <c:v>1.3934103303129</c:v>
                </c:pt>
                <c:pt idx="1">
                  <c:v>1.1873770511114</c:v>
                </c:pt>
                <c:pt idx="2">
                  <c:v>1.0713591061804</c:v>
                </c:pt>
                <c:pt idx="3">
                  <c:v>1.06439145952567</c:v>
                </c:pt>
                <c:pt idx="4">
                  <c:v>1.13057717759483</c:v>
                </c:pt>
                <c:pt idx="5">
                  <c:v>1.18305554610102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078373"/>
        <c:axId val="73242429"/>
      </c:lineChart>
      <c:catAx>
        <c:axId val="16078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42429"/>
        <c:crosses val="autoZero"/>
        <c:auto val="1"/>
        <c:lblAlgn val="ctr"/>
        <c:lblOffset val="100"/>
        <c:noMultiLvlLbl val="0"/>
      </c:catAx>
      <c:valAx>
        <c:axId val="73242429"/>
        <c:scaling>
          <c:orientation val="minMax"/>
          <c:max val="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残響時間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78373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予測された残響時間特性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p7例題_検算!B27</c:f>
              <c:strCache>
                <c:ptCount val="1"/>
                <c:pt idx="0">
                  <c:v>空席時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p7例題_検算!$A$28:$A$33</c:f>
              <c:strCache>
                <c:ptCount val="6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</c:strCache>
            </c:strRef>
          </c:cat>
          <c:val>
            <c:numRef>
              <c:f>p7例題_検算!$B$28:$B$33</c:f>
              <c:numCache>
                <c:formatCode>0.00</c:formatCode>
                <c:ptCount val="6"/>
                <c:pt idx="0">
                  <c:v>1.51577140404835</c:v>
                </c:pt>
                <c:pt idx="1">
                  <c:v>1.33682384481943</c:v>
                </c:pt>
                <c:pt idx="2">
                  <c:v>1.41232922359214</c:v>
                </c:pt>
                <c:pt idx="3">
                  <c:v>1.43111831442464</c:v>
                </c:pt>
                <c:pt idx="4">
                  <c:v>1.34050224555633</c:v>
                </c:pt>
                <c:pt idx="5">
                  <c:v>1.23937072343412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p7例題_検算!C27</c:f>
              <c:strCache>
                <c:ptCount val="1"/>
                <c:pt idx="0">
                  <c:v>満席時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p7例題_検算!$A$28:$A$33</c:f>
              <c:strCache>
                <c:ptCount val="6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</c:strCache>
            </c:strRef>
          </c:cat>
          <c:val>
            <c:numRef>
              <c:f>p7例題_検算!$C$28:$C$33</c:f>
              <c:numCache>
                <c:formatCode>0.00</c:formatCode>
                <c:ptCount val="6"/>
                <c:pt idx="0">
                  <c:v>1.25918003565062</c:v>
                </c:pt>
                <c:pt idx="1">
                  <c:v>1.14908499389996</c:v>
                </c:pt>
                <c:pt idx="2">
                  <c:v>1.20443307757886</c:v>
                </c:pt>
                <c:pt idx="3">
                  <c:v>1.21807104264858</c:v>
                </c:pt>
                <c:pt idx="4">
                  <c:v>1.1518017283548</c:v>
                </c:pt>
                <c:pt idx="5">
                  <c:v>1.07633704098735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485285"/>
        <c:axId val="53150540"/>
      </c:lineChart>
      <c:catAx>
        <c:axId val="69485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50540"/>
        <c:crosses val="autoZero"/>
        <c:auto val="1"/>
        <c:lblAlgn val="ctr"/>
        <c:lblOffset val="100"/>
        <c:noMultiLvlLbl val="0"/>
      </c:catAx>
      <c:valAx>
        <c:axId val="53150540"/>
        <c:scaling>
          <c:orientation val="minMax"/>
          <c:max val="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残響時間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85285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34</xdr:row>
      <xdr:rowOff>176040</xdr:rowOff>
    </xdr:from>
    <xdr:to>
      <xdr:col>12</xdr:col>
      <xdr:colOff>87840</xdr:colOff>
      <xdr:row>48</xdr:row>
      <xdr:rowOff>28440</xdr:rowOff>
    </xdr:to>
    <xdr:graphicFrame>
      <xdr:nvGraphicFramePr>
        <xdr:cNvPr id="0" name="Chart 1"/>
        <xdr:cNvGraphicFramePr/>
      </xdr:nvGraphicFramePr>
      <xdr:xfrm>
        <a:off x="6061680" y="6667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24</xdr:row>
      <xdr:rowOff>163080</xdr:rowOff>
    </xdr:from>
    <xdr:to>
      <xdr:col>12</xdr:col>
      <xdr:colOff>87840</xdr:colOff>
      <xdr:row>38</xdr:row>
      <xdr:rowOff>15840</xdr:rowOff>
    </xdr:to>
    <xdr:graphicFrame>
      <xdr:nvGraphicFramePr>
        <xdr:cNvPr id="1" name="Chart 1"/>
        <xdr:cNvGraphicFramePr/>
      </xdr:nvGraphicFramePr>
      <xdr:xfrm>
        <a:off x="6061680" y="4762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4.15" hidden="false" customHeight="false" outlineLevel="0" collapsed="false">
      <c r="A4" s="4" t="s">
        <v>2</v>
      </c>
    </row>
    <row r="5" customFormat="false" ht="14.15" hidden="false" customHeight="false" outlineLevel="0" collapsed="false">
      <c r="A5" s="4" t="s">
        <v>3</v>
      </c>
    </row>
    <row r="6" customFormat="false" ht="14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4" t="s">
        <v>6</v>
      </c>
    </row>
    <row r="10" customFormat="false" ht="14.15" hidden="false" customHeight="false" outlineLevel="0" collapsed="false">
      <c r="A10" s="4" t="s">
        <v>7</v>
      </c>
    </row>
    <row r="11" customFormat="false" ht="14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4.15" hidden="false" customHeight="false" outlineLevel="0" collapsed="false">
      <c r="A13" s="3" t="s">
        <v>9</v>
      </c>
    </row>
    <row r="14" customFormat="false" ht="14.15" hidden="false" customHeight="false" outlineLevel="0" collapsed="false">
      <c r="A14" s="2" t="s">
        <v>10</v>
      </c>
    </row>
    <row r="15" customFormat="false" ht="14.15" hidden="false" customHeight="false" outlineLevel="0" collapsed="false">
      <c r="A15" s="4" t="s">
        <v>11</v>
      </c>
    </row>
    <row r="16" customFormat="false" ht="14.15" hidden="false" customHeight="false" outlineLevel="0" collapsed="false">
      <c r="A16" s="4" t="s">
        <v>12</v>
      </c>
    </row>
    <row r="17" customFormat="false" ht="14.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4.15" hidden="false" customHeight="false" outlineLevel="0" collapsed="false">
      <c r="A20" s="2" t="s">
        <v>15</v>
      </c>
    </row>
    <row r="21" customFormat="false" ht="14.15" hidden="false" customHeight="false" outlineLevel="0" collapsed="false">
      <c r="A21" s="2" t="s">
        <v>16</v>
      </c>
    </row>
    <row r="22" customFormat="false" ht="14.15" hidden="false" customHeight="false" outlineLevel="0" collapsed="false">
      <c r="A22" s="2" t="s">
        <v>17</v>
      </c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16" min="5" style="0" width="7.5"/>
    <col collapsed="false" customWidth="true" hidden="false" outlineLevel="0" max="17" min="17" style="0" width="60"/>
  </cols>
  <sheetData>
    <row r="1" customFormat="false" ht="16.15" hidden="false" customHeight="false" outlineLevel="0" collapsed="false">
      <c r="A1" s="5" t="s">
        <v>20</v>
      </c>
    </row>
    <row r="2" customFormat="false" ht="15" hidden="false" customHeight="false" outlineLevel="0" collapsed="false">
      <c r="A2" s="4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7" t="s">
        <v>26</v>
      </c>
      <c r="F4" s="7"/>
      <c r="G4" s="7" t="s">
        <v>27</v>
      </c>
      <c r="H4" s="7"/>
      <c r="I4" s="7" t="s">
        <v>28</v>
      </c>
      <c r="J4" s="7"/>
      <c r="K4" s="7" t="s">
        <v>29</v>
      </c>
      <c r="L4" s="7"/>
      <c r="M4" s="7" t="s">
        <v>30</v>
      </c>
      <c r="N4" s="7"/>
      <c r="O4" s="7" t="s">
        <v>31</v>
      </c>
      <c r="P4" s="7"/>
      <c r="Q4" s="3" t="s">
        <v>32</v>
      </c>
    </row>
    <row r="5" customFormat="false" ht="15" hidden="false" customHeight="false" outlineLevel="0" collapsed="false">
      <c r="A5" s="6"/>
      <c r="B5" s="6"/>
      <c r="C5" s="6"/>
      <c r="D5" s="6"/>
      <c r="E5" s="7" t="s">
        <v>33</v>
      </c>
      <c r="F5" s="7" t="s">
        <v>34</v>
      </c>
      <c r="G5" s="7" t="s">
        <v>33</v>
      </c>
      <c r="H5" s="7" t="s">
        <v>34</v>
      </c>
      <c r="I5" s="7" t="s">
        <v>33</v>
      </c>
      <c r="J5" s="7" t="s">
        <v>34</v>
      </c>
      <c r="K5" s="7" t="s">
        <v>33</v>
      </c>
      <c r="L5" s="7" t="s">
        <v>34</v>
      </c>
      <c r="M5" s="7" t="s">
        <v>33</v>
      </c>
      <c r="N5" s="7" t="s">
        <v>34</v>
      </c>
      <c r="O5" s="7" t="s">
        <v>33</v>
      </c>
      <c r="P5" s="7" t="s">
        <v>34</v>
      </c>
    </row>
    <row r="6" customFormat="false" ht="15" hidden="false" customHeight="false" outlineLevel="0" collapsed="false">
      <c r="A6" s="8" t="s">
        <v>35</v>
      </c>
      <c r="B6" s="9" t="s">
        <v>36</v>
      </c>
      <c r="C6" s="10" t="s">
        <v>37</v>
      </c>
      <c r="D6" s="11" t="n">
        <f aca="false">252-D15</f>
        <v>102</v>
      </c>
      <c r="E6" s="12" t="n">
        <f aca="false">IF($B6="","",IFERROR(INDEX(材料DB!C$5:C$130,MATCH($B6,材料DB!$B$5:$B$130,0)),"材料なし"))</f>
        <v>0.05</v>
      </c>
      <c r="F6" s="12" t="n">
        <f aca="false">IF(OR($B6="",$D6=""),"",IFERROR($D6*E6,""))</f>
        <v>5.1</v>
      </c>
      <c r="G6" s="12" t="n">
        <f aca="false">IF($B6="","",IFERROR(INDEX(材料DB!D$5:D$130,MATCH($B6,材料DB!$B$5:$B$130,0)),"材料なし"))</f>
        <v>0.08</v>
      </c>
      <c r="H6" s="12" t="n">
        <f aca="false">IF(OR($B6="",$D6=""),"",IFERROR($D6*G6,""))</f>
        <v>8.16</v>
      </c>
      <c r="I6" s="12" t="n">
        <f aca="false">IF($B6="","",IFERROR(INDEX(材料DB!E$5:E$130,MATCH($B6,材料DB!$B$5:$B$130,0)),"材料なし"))</f>
        <v>0.2</v>
      </c>
      <c r="J6" s="12" t="n">
        <f aca="false">IF(OR($B6="",$D6=""),"",IFERROR($D6*I6,""))</f>
        <v>20.4</v>
      </c>
      <c r="K6" s="12" t="n">
        <f aca="false">IF($B6="","",IFERROR(INDEX(材料DB!F$5:F$130,MATCH($B6,材料DB!$B$5:$B$130,0)),"材料なし"))</f>
        <v>0.45</v>
      </c>
      <c r="L6" s="12" t="n">
        <f aca="false">IF(OR($B6="",$D6=""),"",IFERROR($D6*K6,""))</f>
        <v>45.9</v>
      </c>
      <c r="M6" s="12" t="n">
        <f aca="false">IF($B6="","",IFERROR(INDEX(材料DB!G$5:G$130,MATCH($B6,材料DB!$B$5:$B$130,0)),"材料なし"))</f>
        <v>0.5</v>
      </c>
      <c r="N6" s="12" t="n">
        <f aca="false">IF(OR($B6="",$D6=""),"",IFERROR($D6*M6,""))</f>
        <v>51</v>
      </c>
      <c r="O6" s="12" t="n">
        <f aca="false">IF($B6="","",IFERROR(INDEX(材料DB!H$5:H$130,MATCH($B6,材料DB!$B$5:$B$130,0)),"材料なし"))</f>
        <v>0.5</v>
      </c>
      <c r="P6" s="12" t="n">
        <f aca="false">IF(OR($B6="",$D6=""),"",IFERROR($D6*O6,""))</f>
        <v>51</v>
      </c>
      <c r="Q6" s="13" t="s">
        <v>38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s">
        <v>37</v>
      </c>
      <c r="D7" s="11" t="n">
        <f aca="false">252-D8</f>
        <v>234</v>
      </c>
      <c r="E7" s="12" t="n">
        <f aca="false">IF($B7="","",IFERROR(INDEX(材料DB!C$5:C$130,MATCH($B7,材料DB!$B$5:$B$130,0)),"材料なし"))</f>
        <v>0.2</v>
      </c>
      <c r="F7" s="12" t="n">
        <f aca="false">IF(OR($B7="",$D7=""),"",IFERROR($D7*E7,""))</f>
        <v>46.8</v>
      </c>
      <c r="G7" s="12" t="n">
        <f aca="false">IF($B7="","",IFERROR(INDEX(材料DB!D$5:D$130,MATCH($B7,材料DB!$B$5:$B$130,0)),"材料なし"))</f>
        <v>0.12</v>
      </c>
      <c r="H7" s="12" t="n">
        <f aca="false">IF(OR($B7="",$D7=""),"",IFERROR($D7*G7,""))</f>
        <v>28.08</v>
      </c>
      <c r="I7" s="12" t="n">
        <f aca="false">IF($B7="","",IFERROR(INDEX(材料DB!E$5:E$130,MATCH($B7,材料DB!$B$5:$B$130,0)),"材料なし"))</f>
        <v>0.08</v>
      </c>
      <c r="J7" s="12" t="n">
        <f aca="false">IF(OR($B7="",$D7=""),"",IFERROR($D7*I7,""))</f>
        <v>18.72</v>
      </c>
      <c r="K7" s="12" t="n">
        <f aca="false">IF($B7="","",IFERROR(INDEX(材料DB!F$5:F$130,MATCH($B7,材料DB!$B$5:$B$130,0)),"材料なし"))</f>
        <v>0.07</v>
      </c>
      <c r="L7" s="12" t="n">
        <f aca="false">IF(OR($B7="",$D7=""),"",IFERROR($D7*K7,""))</f>
        <v>16.38</v>
      </c>
      <c r="M7" s="12" t="n">
        <f aca="false">IF($B7="","",IFERROR(INDEX(材料DB!G$5:G$130,MATCH($B7,材料DB!$B$5:$B$130,0)),"材料なし"))</f>
        <v>0.07</v>
      </c>
      <c r="N7" s="12" t="n">
        <f aca="false">IF(OR($B7="",$D7=""),"",IFERROR($D7*M7,""))</f>
        <v>16.38</v>
      </c>
      <c r="O7" s="12" t="n">
        <f aca="false">IF($B7="","",IFERROR(INDEX(材料DB!H$5:H$130,MATCH($B7,材料DB!$B$5:$B$130,0)),"材料なし"))</f>
        <v>0.08</v>
      </c>
      <c r="P7" s="12" t="n">
        <f aca="false">IF(OR($B7="",$D7=""),"",IFERROR($D7*O7,""))</f>
        <v>18.72</v>
      </c>
      <c r="Q7" s="13" t="s">
        <v>41</v>
      </c>
    </row>
    <row r="8" customFormat="false" ht="15" hidden="false" customHeight="false" outlineLevel="0" collapsed="false">
      <c r="A8" s="8" t="s">
        <v>42</v>
      </c>
      <c r="B8" s="9" t="s">
        <v>43</v>
      </c>
      <c r="C8" s="10" t="s">
        <v>37</v>
      </c>
      <c r="D8" s="11" t="n">
        <f aca="false">18*1</f>
        <v>18</v>
      </c>
      <c r="E8" s="12" t="n">
        <f aca="false">IF($B8="","",IFERROR(INDEX(材料DB!C$5:C$130,MATCH($B8,材料DB!$B$5:$B$130,0)),"材料なし"))</f>
        <v>0.1</v>
      </c>
      <c r="F8" s="12" t="n">
        <f aca="false">IF(OR($B8="",$D8=""),"",IFERROR($D8*E8,""))</f>
        <v>1.8</v>
      </c>
      <c r="G8" s="12" t="n">
        <f aca="false">IF($B8="","",IFERROR(INDEX(材料DB!D$5:D$130,MATCH($B8,材料DB!$B$5:$B$130,0)),"材料なし"))</f>
        <v>0.15</v>
      </c>
      <c r="H8" s="12" t="n">
        <f aca="false">IF(OR($B8="",$D8=""),"",IFERROR($D8*G8,""))</f>
        <v>2.7</v>
      </c>
      <c r="I8" s="12" t="n">
        <f aca="false">IF($B8="","",IFERROR(INDEX(材料DB!E$5:E$130,MATCH($B8,材料DB!$B$5:$B$130,0)),"材料なし"))</f>
        <v>0.2</v>
      </c>
      <c r="J8" s="12" t="n">
        <f aca="false">IF(OR($B8="",$D8=""),"",IFERROR($D8*I8,""))</f>
        <v>3.6</v>
      </c>
      <c r="K8" s="12" t="n">
        <f aca="false">IF($B8="","",IFERROR(INDEX(材料DB!F$5:F$130,MATCH($B8,材料DB!$B$5:$B$130,0)),"材料なし"))</f>
        <v>0.22</v>
      </c>
      <c r="L8" s="12" t="n">
        <f aca="false">IF(OR($B8="",$D8=""),"",IFERROR($D8*K8,""))</f>
        <v>3.96</v>
      </c>
      <c r="M8" s="12" t="n">
        <f aca="false">IF($B8="","",IFERROR(INDEX(材料DB!G$5:G$130,MATCH($B8,材料DB!$B$5:$B$130,0)),"材料なし"))</f>
        <v>0.25</v>
      </c>
      <c r="N8" s="12" t="n">
        <f aca="false">IF(OR($B8="",$D8=""),"",IFERROR($D8*M8,""))</f>
        <v>4.5</v>
      </c>
      <c r="O8" s="12" t="n">
        <f aca="false">IF($B8="","",IFERROR(INDEX(材料DB!H$5:H$130,MATCH($B8,材料DB!$B$5:$B$130,0)),"材料なし"))</f>
        <v>0.3</v>
      </c>
      <c r="P8" s="12" t="n">
        <f aca="false">IF(OR($B8="",$D8=""),"",IFERROR($D8*O8,""))</f>
        <v>5.4</v>
      </c>
      <c r="Q8" s="13" t="s">
        <v>44</v>
      </c>
    </row>
    <row r="9" customFormat="false" ht="15" hidden="false" customHeight="false" outlineLevel="0" collapsed="false">
      <c r="A9" s="8" t="s">
        <v>45</v>
      </c>
      <c r="B9" s="9" t="s">
        <v>46</v>
      </c>
      <c r="C9" s="10" t="s">
        <v>37</v>
      </c>
      <c r="D9" s="11" t="n">
        <f aca="false">14*10*2-D13</f>
        <v>257.32</v>
      </c>
      <c r="E9" s="12" t="n">
        <f aca="false">IF($B9="","",IFERROR(INDEX(材料DB!C$5:C$130,MATCH($B9,材料DB!$B$5:$B$130,0)),"材料なし"))</f>
        <v>0.45</v>
      </c>
      <c r="F9" s="12" t="n">
        <f aca="false">IF(OR($B9="",$D9=""),"",IFERROR($D9*E9,""))</f>
        <v>115.794</v>
      </c>
      <c r="G9" s="12" t="n">
        <f aca="false">IF($B9="","",IFERROR(INDEX(材料DB!D$5:D$130,MATCH($B9,材料DB!$B$5:$B$130,0)),"材料なし"))</f>
        <v>0.5</v>
      </c>
      <c r="H9" s="12" t="n">
        <f aca="false">IF(OR($B9="",$D9=""),"",IFERROR($D9*G9,""))</f>
        <v>128.66</v>
      </c>
      <c r="I9" s="12" t="n">
        <f aca="false">IF($B9="","",IFERROR(INDEX(材料DB!E$5:E$130,MATCH($B9,材料DB!$B$5:$B$130,0)),"材料なし"))</f>
        <v>0.37</v>
      </c>
      <c r="J9" s="12" t="n">
        <f aca="false">IF(OR($B9="",$D9=""),"",IFERROR($D9*I9,""))</f>
        <v>95.2084</v>
      </c>
      <c r="K9" s="12" t="n">
        <f aca="false">IF($B9="","",IFERROR(INDEX(材料DB!F$5:F$130,MATCH($B9,材料DB!$B$5:$B$130,0)),"材料なし"))</f>
        <v>0.4</v>
      </c>
      <c r="L9" s="12" t="n">
        <f aca="false">IF(OR($B9="",$D9=""),"",IFERROR($D9*K9,""))</f>
        <v>102.928</v>
      </c>
      <c r="M9" s="12" t="n">
        <f aca="false">IF($B9="","",IFERROR(INDEX(材料DB!G$5:G$130,MATCH($B9,材料DB!$B$5:$B$130,0)),"材料なし"))</f>
        <v>0.4</v>
      </c>
      <c r="N9" s="12" t="n">
        <f aca="false">IF(OR($B9="",$D9=""),"",IFERROR($D9*M9,""))</f>
        <v>102.928</v>
      </c>
      <c r="O9" s="12" t="n">
        <f aca="false">IF($B9="","",IFERROR(INDEX(材料DB!H$5:H$130,MATCH($B9,材料DB!$B$5:$B$130,0)),"材料なし"))</f>
        <v>0.37</v>
      </c>
      <c r="P9" s="12" t="n">
        <f aca="false">IF(OR($B9="",$D9=""),"",IFERROR($D9*O9,""))</f>
        <v>95.2084</v>
      </c>
      <c r="Q9" s="14" t="s">
        <v>47</v>
      </c>
    </row>
    <row r="10" customFormat="false" ht="15" hidden="false" customHeight="false" outlineLevel="0" collapsed="false">
      <c r="A10" s="8" t="s">
        <v>48</v>
      </c>
      <c r="B10" s="9" t="s">
        <v>49</v>
      </c>
      <c r="C10" s="10" t="s">
        <v>37</v>
      </c>
      <c r="D10" s="11" t="n">
        <f aca="false">18*10-D14</f>
        <v>165</v>
      </c>
      <c r="E10" s="12" t="n">
        <f aca="false">IF($B10="","",IFERROR(INDEX(材料DB!C$5:C$130,MATCH($B10,材料DB!$B$5:$B$130,0)),"材料なし"))</f>
        <v>0.2</v>
      </c>
      <c r="F10" s="12" t="n">
        <f aca="false">IF(OR($B10="",$D10=""),"",IFERROR($D10*E10,""))</f>
        <v>33</v>
      </c>
      <c r="G10" s="12" t="n">
        <f aca="false">IF($B10="","",IFERROR(INDEX(材料DB!D$5:D$130,MATCH($B10,材料DB!$B$5:$B$130,0)),"材料なし"))</f>
        <v>0.45</v>
      </c>
      <c r="H10" s="12" t="n">
        <f aca="false">IF(OR($B10="",$D10=""),"",IFERROR($D10*G10,""))</f>
        <v>74.25</v>
      </c>
      <c r="I10" s="12" t="n">
        <f aca="false">IF($B10="","",IFERROR(INDEX(材料DB!E$5:E$130,MATCH($B10,材料DB!$B$5:$B$130,0)),"材料なし"))</f>
        <v>0.8</v>
      </c>
      <c r="J10" s="12" t="n">
        <f aca="false">IF(OR($B10="",$D10=""),"",IFERROR($D10*I10,""))</f>
        <v>132</v>
      </c>
      <c r="K10" s="12" t="n">
        <f aca="false">IF($B10="","",IFERROR(INDEX(材料DB!F$5:F$130,MATCH($B10,材料DB!$B$5:$B$130,0)),"材料なし"))</f>
        <v>0.6</v>
      </c>
      <c r="L10" s="12" t="n">
        <f aca="false">IF(OR($B10="",$D10=""),"",IFERROR($D10*K10,""))</f>
        <v>99</v>
      </c>
      <c r="M10" s="12" t="n">
        <f aca="false">IF($B10="","",IFERROR(INDEX(材料DB!G$5:G$130,MATCH($B10,材料DB!$B$5:$B$130,0)),"材料なし"))</f>
        <v>0.4</v>
      </c>
      <c r="N10" s="12" t="n">
        <f aca="false">IF(OR($B10="",$D10=""),"",IFERROR($D10*M10,""))</f>
        <v>66</v>
      </c>
      <c r="O10" s="12" t="n">
        <f aca="false">IF($B10="","",IFERROR(INDEX(材料DB!H$5:H$130,MATCH($B10,材料DB!$B$5:$B$130,0)),"材料なし"))</f>
        <v>0.3</v>
      </c>
      <c r="P10" s="12" t="n">
        <f aca="false">IF(OR($B10="",$D10=""),"",IFERROR($D10*O10,""))</f>
        <v>49.5</v>
      </c>
      <c r="Q10" s="14" t="s">
        <v>50</v>
      </c>
    </row>
    <row r="11" customFormat="false" ht="15" hidden="false" customHeight="false" outlineLevel="0" collapsed="false">
      <c r="A11" s="8" t="s">
        <v>51</v>
      </c>
      <c r="B11" s="9" t="s">
        <v>40</v>
      </c>
      <c r="C11" s="10" t="s">
        <v>37</v>
      </c>
      <c r="D11" s="11" t="n">
        <f aca="false">18*10-D12</f>
        <v>96</v>
      </c>
      <c r="E11" s="12" t="n">
        <f aca="false">IF($B11="","",IFERROR(INDEX(材料DB!C$5:C$130,MATCH($B11,材料DB!$B$5:$B$130,0)),"材料なし"))</f>
        <v>0.2</v>
      </c>
      <c r="F11" s="12" t="n">
        <f aca="false">IF(OR($B11="",$D11=""),"",IFERROR($D11*E11,""))</f>
        <v>19.2</v>
      </c>
      <c r="G11" s="12" t="n">
        <f aca="false">IF($B11="","",IFERROR(INDEX(材料DB!D$5:D$130,MATCH($B11,材料DB!$B$5:$B$130,0)),"材料なし"))</f>
        <v>0.12</v>
      </c>
      <c r="H11" s="12" t="n">
        <f aca="false">IF(OR($B11="",$D11=""),"",IFERROR($D11*G11,""))</f>
        <v>11.52</v>
      </c>
      <c r="I11" s="12" t="n">
        <f aca="false">IF($B11="","",IFERROR(INDEX(材料DB!E$5:E$130,MATCH($B11,材料DB!$B$5:$B$130,0)),"材料なし"))</f>
        <v>0.08</v>
      </c>
      <c r="J11" s="12" t="n">
        <f aca="false">IF(OR($B11="",$D11=""),"",IFERROR($D11*I11,""))</f>
        <v>7.68</v>
      </c>
      <c r="K11" s="12" t="n">
        <f aca="false">IF($B11="","",IFERROR(INDEX(材料DB!F$5:F$130,MATCH($B11,材料DB!$B$5:$B$130,0)),"材料なし"))</f>
        <v>0.07</v>
      </c>
      <c r="L11" s="12" t="n">
        <f aca="false">IF(OR($B11="",$D11=""),"",IFERROR($D11*K11,""))</f>
        <v>6.72</v>
      </c>
      <c r="M11" s="12" t="n">
        <f aca="false">IF($B11="","",IFERROR(INDEX(材料DB!G$5:G$130,MATCH($B11,材料DB!$B$5:$B$130,0)),"材料なし"))</f>
        <v>0.07</v>
      </c>
      <c r="N11" s="12" t="n">
        <f aca="false">IF(OR($B11="",$D11=""),"",IFERROR($D11*M11,""))</f>
        <v>6.72</v>
      </c>
      <c r="O11" s="12" t="n">
        <f aca="false">IF($B11="","",IFERROR(INDEX(材料DB!H$5:H$130,MATCH($B11,材料DB!$B$5:$B$130,0)),"材料なし"))</f>
        <v>0.08</v>
      </c>
      <c r="P11" s="12" t="n">
        <f aca="false">IF(OR($B11="",$D11=""),"",IFERROR($D11*O11,""))</f>
        <v>7.68</v>
      </c>
      <c r="Q11" s="14" t="s">
        <v>52</v>
      </c>
    </row>
    <row r="12" customFormat="false" ht="15" hidden="false" customHeight="false" outlineLevel="0" collapsed="false">
      <c r="A12" s="8" t="s">
        <v>53</v>
      </c>
      <c r="B12" s="9" t="s">
        <v>54</v>
      </c>
      <c r="C12" s="10" t="s">
        <v>37</v>
      </c>
      <c r="D12" s="11" t="n">
        <f aca="false">12*7</f>
        <v>84</v>
      </c>
      <c r="E12" s="12" t="n">
        <f aca="false">IF($B12="","",IFERROR(INDEX(材料DB!C$5:C$130,MATCH($B12,材料DB!$B$5:$B$130,0)),"材料なし"))</f>
        <v>0.3</v>
      </c>
      <c r="F12" s="12" t="n">
        <f aca="false">IF(OR($B12="",$D12=""),"",IFERROR($D12*E12,""))</f>
        <v>25.2</v>
      </c>
      <c r="G12" s="12" t="n">
        <f aca="false">IF($B12="","",IFERROR(INDEX(材料DB!D$5:D$130,MATCH($B12,材料DB!$B$5:$B$130,0)),"材料なし"))</f>
        <v>0.35</v>
      </c>
      <c r="H12" s="12" t="n">
        <f aca="false">IF(OR($B12="",$D12=""),"",IFERROR($D12*G12,""))</f>
        <v>29.4</v>
      </c>
      <c r="I12" s="12" t="n">
        <f aca="false">IF($B12="","",IFERROR(INDEX(材料DB!E$5:E$130,MATCH($B12,材料DB!$B$5:$B$130,0)),"材料なし"))</f>
        <v>0.4</v>
      </c>
      <c r="J12" s="12" t="n">
        <f aca="false">IF(OR($B12="",$D12=""),"",IFERROR($D12*I12,""))</f>
        <v>33.6</v>
      </c>
      <c r="K12" s="12" t="n">
        <f aca="false">IF($B12="","",IFERROR(INDEX(材料DB!F$5:F$130,MATCH($B12,材料DB!$B$5:$B$130,0)),"材料なし"))</f>
        <v>0.45</v>
      </c>
      <c r="L12" s="12" t="n">
        <f aca="false">IF(OR($B12="",$D12=""),"",IFERROR($D12*K12,""))</f>
        <v>37.8</v>
      </c>
      <c r="M12" s="12" t="n">
        <f aca="false">IF($B12="","",IFERROR(INDEX(材料DB!G$5:G$130,MATCH($B12,材料DB!$B$5:$B$130,0)),"材料なし"))</f>
        <v>0.5</v>
      </c>
      <c r="N12" s="12" t="n">
        <f aca="false">IF(OR($B12="",$D12=""),"",IFERROR($D12*M12,""))</f>
        <v>42</v>
      </c>
      <c r="O12" s="12" t="n">
        <f aca="false">IF($B12="","",IFERROR(INDEX(材料DB!H$5:H$130,MATCH($B12,材料DB!$B$5:$B$130,0)),"材料なし"))</f>
        <v>0.55</v>
      </c>
      <c r="P12" s="12" t="n">
        <f aca="false">IF(OR($B12="",$D12=""),"",IFERROR($D12*O12,""))</f>
        <v>46.2</v>
      </c>
    </row>
    <row r="13" customFormat="false" ht="15" hidden="false" customHeight="false" outlineLevel="0" collapsed="false">
      <c r="A13" s="8" t="s">
        <v>55</v>
      </c>
      <c r="B13" s="9" t="s">
        <v>56</v>
      </c>
      <c r="C13" s="10" t="s">
        <v>37</v>
      </c>
      <c r="D13" s="11" t="n">
        <f aca="false">6*1.8*2.1</f>
        <v>22.68</v>
      </c>
      <c r="E13" s="12" t="n">
        <f aca="false">IF($B13="","",IFERROR(INDEX(材料DB!C$5:C$130,MATCH($B13,材料DB!$B$5:$B$130,0)),"材料なし"))</f>
        <v>0.1</v>
      </c>
      <c r="F13" s="12" t="n">
        <f aca="false">IF(OR($B13="",$D13=""),"",IFERROR($D13*E13,""))</f>
        <v>2.268</v>
      </c>
      <c r="G13" s="12" t="n">
        <f aca="false">IF($B13="","",IFERROR(INDEX(材料DB!D$5:D$130,MATCH($B13,材料DB!$B$5:$B$130,0)),"材料なし"))</f>
        <v>0.15</v>
      </c>
      <c r="H13" s="12" t="n">
        <f aca="false">IF(OR($B13="",$D13=""),"",IFERROR($D13*G13,""))</f>
        <v>3.402</v>
      </c>
      <c r="I13" s="12" t="n">
        <f aca="false">IF($B13="","",IFERROR(INDEX(材料DB!E$5:E$130,MATCH($B13,材料DB!$B$5:$B$130,0)),"材料なし"))</f>
        <v>0.2</v>
      </c>
      <c r="J13" s="12" t="n">
        <f aca="false">IF(OR($B13="",$D13=""),"",IFERROR($D13*I13,""))</f>
        <v>4.536</v>
      </c>
      <c r="K13" s="12" t="n">
        <f aca="false">IF($B13="","",IFERROR(INDEX(材料DB!F$5:F$130,MATCH($B13,材料DB!$B$5:$B$130,0)),"材料なし"))</f>
        <v>0.25</v>
      </c>
      <c r="L13" s="12" t="n">
        <f aca="false">IF(OR($B13="",$D13=""),"",IFERROR($D13*K13,""))</f>
        <v>5.67</v>
      </c>
      <c r="M13" s="12" t="n">
        <f aca="false">IF($B13="","",IFERROR(INDEX(材料DB!G$5:G$130,MATCH($B13,材料DB!$B$5:$B$130,0)),"材料なし"))</f>
        <v>0.3</v>
      </c>
      <c r="N13" s="12" t="n">
        <f aca="false">IF(OR($B13="",$D13=""),"",IFERROR($D13*M13,""))</f>
        <v>6.804</v>
      </c>
      <c r="O13" s="12" t="n">
        <f aca="false">IF($B13="","",IFERROR(INDEX(材料DB!H$5:H$130,MATCH($B13,材料DB!$B$5:$B$130,0)),"材料なし"))</f>
        <v>0.3</v>
      </c>
      <c r="P13" s="12" t="n">
        <f aca="false">IF(OR($B13="",$D13=""),"",IFERROR($D13*O13,""))</f>
        <v>6.804</v>
      </c>
      <c r="Q13" s="13" t="s">
        <v>57</v>
      </c>
    </row>
    <row r="14" customFormat="false" ht="15" hidden="false" customHeight="false" outlineLevel="0" collapsed="false">
      <c r="A14" s="8" t="s">
        <v>58</v>
      </c>
      <c r="B14" s="9" t="s">
        <v>59</v>
      </c>
      <c r="C14" s="10" t="s">
        <v>37</v>
      </c>
      <c r="D14" s="11" t="n">
        <f aca="false">10*1.5</f>
        <v>15</v>
      </c>
      <c r="E14" s="12" t="n">
        <f aca="false">IF($B14="","",IFERROR(INDEX(材料DB!C$5:C$130,MATCH($B14,材料DB!$B$5:$B$130,0)),"材料なし"))</f>
        <v>0.18</v>
      </c>
      <c r="F14" s="12" t="n">
        <f aca="false">IF(OR($B14="",$D14=""),"",IFERROR($D14*E14,""))</f>
        <v>2.7</v>
      </c>
      <c r="G14" s="12" t="n">
        <f aca="false">IF($B14="","",IFERROR(INDEX(材料DB!D$5:D$130,MATCH($B14,材料DB!$B$5:$B$130,0)),"材料なし"))</f>
        <v>0.06</v>
      </c>
      <c r="H14" s="12" t="n">
        <f aca="false">IF(OR($B14="",$D14=""),"",IFERROR($D14*G14,""))</f>
        <v>0.9</v>
      </c>
      <c r="I14" s="12" t="n">
        <f aca="false">IF($B14="","",IFERROR(INDEX(材料DB!E$5:E$130,MATCH($B14,材料DB!$B$5:$B$130,0)),"材料なし"))</f>
        <v>0.04</v>
      </c>
      <c r="J14" s="12" t="n">
        <f aca="false">IF(OR($B14="",$D14=""),"",IFERROR($D14*I14,""))</f>
        <v>0.6</v>
      </c>
      <c r="K14" s="12" t="n">
        <f aca="false">IF($B14="","",IFERROR(INDEX(材料DB!F$5:F$130,MATCH($B14,材料DB!$B$5:$B$130,0)),"材料なし"))</f>
        <v>0.03</v>
      </c>
      <c r="L14" s="12" t="n">
        <f aca="false">IF(OR($B14="",$D14=""),"",IFERROR($D14*K14,""))</f>
        <v>0.45</v>
      </c>
      <c r="M14" s="12" t="n">
        <f aca="false">IF($B14="","",IFERROR(INDEX(材料DB!G$5:G$130,MATCH($B14,材料DB!$B$5:$B$130,0)),"材料なし"))</f>
        <v>0.02</v>
      </c>
      <c r="N14" s="12" t="n">
        <f aca="false">IF(OR($B14="",$D14=""),"",IFERROR($D14*M14,""))</f>
        <v>0.3</v>
      </c>
      <c r="O14" s="12" t="n">
        <f aca="false">IF($B14="","",IFERROR(INDEX(材料DB!H$5:H$130,MATCH($B14,材料DB!$B$5:$B$130,0)),"材料なし"))</f>
        <v>0.02</v>
      </c>
      <c r="P14" s="12" t="n">
        <f aca="false">IF(OR($B14="",$D14=""),"",IFERROR($D14*O14,""))</f>
        <v>0.3</v>
      </c>
    </row>
    <row r="15" customFormat="false" ht="15" hidden="false" customHeight="false" outlineLevel="0" collapsed="false">
      <c r="A15" s="8" t="s">
        <v>60</v>
      </c>
      <c r="B15" s="9" t="s">
        <v>61</v>
      </c>
      <c r="C15" s="10" t="s">
        <v>62</v>
      </c>
      <c r="D15" s="11" t="n">
        <f aca="false">300*0.5</f>
        <v>150</v>
      </c>
      <c r="E15" s="12" t="n">
        <f aca="false">IF($B15="","",IFERROR(INDEX(材料DB!C$5:C$130,MATCH($B15,材料DB!$B$5:$B$130,0)),"材料なし"))</f>
        <v>0.14</v>
      </c>
      <c r="F15" s="12" t="n">
        <f aca="false">IF(OR($B15="",$D15=""),"",IFERROR($D15*E15,""))</f>
        <v>21</v>
      </c>
      <c r="G15" s="12" t="n">
        <f aca="false">IF($B15="","",IFERROR(INDEX(材料DB!D$5:D$130,MATCH($B15,材料DB!$B$5:$B$130,0)),"材料なし"))</f>
        <v>0.25</v>
      </c>
      <c r="H15" s="12" t="n">
        <f aca="false">IF(OR($B15="",$D15=""),"",IFERROR($D15*G15,""))</f>
        <v>37.5</v>
      </c>
      <c r="I15" s="12" t="n">
        <f aca="false">IF($B15="","",IFERROR(INDEX(材料DB!E$5:E$130,MATCH($B15,材料DB!$B$5:$B$130,0)),"材料なし"))</f>
        <v>0.3</v>
      </c>
      <c r="J15" s="12" t="n">
        <f aca="false">IF(OR($B15="",$D15=""),"",IFERROR($D15*I15,""))</f>
        <v>45</v>
      </c>
      <c r="K15" s="12" t="n">
        <f aca="false">IF($B15="","",IFERROR(INDEX(材料DB!F$5:F$130,MATCH($B15,材料DB!$B$5:$B$130,0)),"材料なし"))</f>
        <v>0.3</v>
      </c>
      <c r="L15" s="12" t="n">
        <f aca="false">IF(OR($B15="",$D15=""),"",IFERROR($D15*K15,""))</f>
        <v>45</v>
      </c>
      <c r="M15" s="12" t="n">
        <f aca="false">IF($B15="","",IFERROR(INDEX(材料DB!G$5:G$130,MATCH($B15,材料DB!$B$5:$B$130,0)),"材料なし"))</f>
        <v>0.3</v>
      </c>
      <c r="N15" s="12" t="n">
        <f aca="false">IF(OR($B15="",$D15=""),"",IFERROR($D15*M15,""))</f>
        <v>45</v>
      </c>
      <c r="O15" s="12" t="n">
        <f aca="false">IF($B15="","",IFERROR(INDEX(材料DB!H$5:H$130,MATCH($B15,材料DB!$B$5:$B$130,0)),"材料なし"))</f>
        <v>0.3</v>
      </c>
      <c r="P15" s="12" t="n">
        <f aca="false">IF(OR($B15="",$D15=""),"",IFERROR($D15*O15,""))</f>
        <v>45</v>
      </c>
      <c r="Q15" s="13" t="s">
        <v>63</v>
      </c>
    </row>
    <row r="16" customFormat="false" ht="15" hidden="false" customHeight="false" outlineLevel="0" collapsed="false">
      <c r="A16" s="8" t="s">
        <v>64</v>
      </c>
      <c r="B16" s="9" t="s">
        <v>65</v>
      </c>
      <c r="C16" s="10" t="s">
        <v>66</v>
      </c>
      <c r="D16" s="11" t="n">
        <f aca="false">D15</f>
        <v>150</v>
      </c>
      <c r="E16" s="12" t="n">
        <f aca="false">IF($B16="","",IFERROR(INDEX(材料DB!C$5:C$130,MATCH($B16,材料DB!$B$5:$B$130,0)),"材料なし"))</f>
        <v>0.25</v>
      </c>
      <c r="F16" s="12" t="n">
        <f aca="false">IF(OR($B16="",$D16=""),"",IFERROR($D16*E16,""))</f>
        <v>37.5</v>
      </c>
      <c r="G16" s="12" t="n">
        <f aca="false">IF($B16="","",IFERROR(INDEX(材料DB!D$5:D$130,MATCH($B16,材料DB!$B$5:$B$130,0)),"材料なし"))</f>
        <v>0.35</v>
      </c>
      <c r="H16" s="12" t="n">
        <f aca="false">IF(OR($B16="",$D16=""),"",IFERROR($D16*G16,""))</f>
        <v>52.5</v>
      </c>
      <c r="I16" s="12" t="n">
        <f aca="false">IF($B16="","",IFERROR(INDEX(材料DB!E$5:E$130,MATCH($B16,材料DB!$B$5:$B$130,0)),"材料なし"))</f>
        <v>0.4</v>
      </c>
      <c r="J16" s="12" t="n">
        <f aca="false">IF(OR($B16="",$D16=""),"",IFERROR($D16*I16,""))</f>
        <v>60</v>
      </c>
      <c r="K16" s="12" t="n">
        <f aca="false">IF($B16="","",IFERROR(INDEX(材料DB!F$5:F$130,MATCH($B16,材料DB!$B$5:$B$130,0)),"材料なし"))</f>
        <v>0.4</v>
      </c>
      <c r="L16" s="12" t="n">
        <f aca="false">IF(OR($B16="",$D16=""),"",IFERROR($D16*K16,""))</f>
        <v>60</v>
      </c>
      <c r="M16" s="12" t="n">
        <f aca="false">IF($B16="","",IFERROR(INDEX(材料DB!G$5:G$130,MATCH($B16,材料DB!$B$5:$B$130,0)),"材料なし"))</f>
        <v>0.4</v>
      </c>
      <c r="N16" s="12" t="n">
        <f aca="false">IF(OR($B16="",$D16=""),"",IFERROR($D16*M16,""))</f>
        <v>60</v>
      </c>
      <c r="O16" s="12" t="n">
        <f aca="false">IF($B16="","",IFERROR(INDEX(材料DB!H$5:H$130,MATCH($B16,材料DB!$B$5:$B$130,0)),"材料なし"))</f>
        <v>0.4</v>
      </c>
      <c r="P16" s="12" t="n">
        <f aca="false">IF(OR($B16="",$D16=""),"",IFERROR($D16*O16,""))</f>
        <v>60</v>
      </c>
      <c r="Q16" s="13" t="s">
        <v>67</v>
      </c>
    </row>
    <row r="17" customFormat="false" ht="15" hidden="false" customHeight="false" outlineLevel="0" collapsed="false">
      <c r="A17" s="8"/>
      <c r="B17" s="9"/>
      <c r="C17" s="10"/>
      <c r="D17" s="11"/>
      <c r="E17" s="12" t="str">
        <f aca="false">IF($B17="","",IFERROR(INDEX(材料DB!C$5:C$130,MATCH($B17,材料DB!$B$5:$B$130,0)),"材料なし"))</f>
        <v/>
      </c>
      <c r="F17" s="12" t="str">
        <f aca="false">IF(OR($B17="",$D17=""),"",IFERROR($D17*E17,""))</f>
        <v/>
      </c>
      <c r="G17" s="12" t="str">
        <f aca="false">IF($B17="","",IFERROR(INDEX(材料DB!D$5:D$130,MATCH($B17,材料DB!$B$5:$B$130,0)),"材料なし"))</f>
        <v/>
      </c>
      <c r="H17" s="12" t="str">
        <f aca="false">IF(OR($B17="",$D17=""),"",IFERROR($D17*G17,""))</f>
        <v/>
      </c>
      <c r="I17" s="12" t="str">
        <f aca="false">IF($B17="","",IFERROR(INDEX(材料DB!E$5:E$130,MATCH($B17,材料DB!$B$5:$B$130,0)),"材料なし"))</f>
        <v/>
      </c>
      <c r="J17" s="12" t="str">
        <f aca="false">IF(OR($B17="",$D17=""),"",IFERROR($D17*I17,""))</f>
        <v/>
      </c>
      <c r="K17" s="12" t="str">
        <f aca="false">IF($B17="","",IFERROR(INDEX(材料DB!F$5:F$130,MATCH($B17,材料DB!$B$5:$B$130,0)),"材料なし"))</f>
        <v/>
      </c>
      <c r="L17" s="12" t="str">
        <f aca="false">IF(OR($B17="",$D17=""),"",IFERROR($D17*K17,""))</f>
        <v/>
      </c>
      <c r="M17" s="12" t="str">
        <f aca="false">IF($B17="","",IFERROR(INDEX(材料DB!G$5:G$130,MATCH($B17,材料DB!$B$5:$B$130,0)),"材料なし"))</f>
        <v/>
      </c>
      <c r="N17" s="12" t="str">
        <f aca="false">IF(OR($B17="",$D17=""),"",IFERROR($D17*M17,""))</f>
        <v/>
      </c>
      <c r="O17" s="12" t="str">
        <f aca="false">IF($B17="","",IFERROR(INDEX(材料DB!H$5:H$130,MATCH($B17,材料DB!$B$5:$B$130,0)),"材料なし"))</f>
        <v/>
      </c>
      <c r="P17" s="12" t="str">
        <f aca="false">IF(OR($B17="",$D17=""),"",IFERROR($D17*O17,""))</f>
        <v/>
      </c>
    </row>
    <row r="18" customFormat="false" ht="15" hidden="false" customHeight="false" outlineLevel="0" collapsed="false">
      <c r="A18" s="8"/>
      <c r="B18" s="9"/>
      <c r="C18" s="10"/>
      <c r="D18" s="11"/>
      <c r="E18" s="12" t="str">
        <f aca="false">IF($B18="","",IFERROR(INDEX(材料DB!C$5:C$130,MATCH($B18,材料DB!$B$5:$B$130,0)),"材料なし"))</f>
        <v/>
      </c>
      <c r="F18" s="12" t="str">
        <f aca="false">IF(OR($B18="",$D18=""),"",IFERROR($D18*E18,""))</f>
        <v/>
      </c>
      <c r="G18" s="12" t="str">
        <f aca="false">IF($B18="","",IFERROR(INDEX(材料DB!D$5:D$130,MATCH($B18,材料DB!$B$5:$B$130,0)),"材料なし"))</f>
        <v/>
      </c>
      <c r="H18" s="12" t="str">
        <f aca="false">IF(OR($B18="",$D18=""),"",IFERROR($D18*G18,""))</f>
        <v/>
      </c>
      <c r="I18" s="12" t="str">
        <f aca="false">IF($B18="","",IFERROR(INDEX(材料DB!E$5:E$130,MATCH($B18,材料DB!$B$5:$B$130,0)),"材料なし"))</f>
        <v/>
      </c>
      <c r="J18" s="12" t="str">
        <f aca="false">IF(OR($B18="",$D18=""),"",IFERROR($D18*I18,""))</f>
        <v/>
      </c>
      <c r="K18" s="12" t="str">
        <f aca="false">IF($B18="","",IFERROR(INDEX(材料DB!F$5:F$130,MATCH($B18,材料DB!$B$5:$B$130,0)),"材料なし"))</f>
        <v/>
      </c>
      <c r="L18" s="12" t="str">
        <f aca="false">IF(OR($B18="",$D18=""),"",IFERROR($D18*K18,""))</f>
        <v/>
      </c>
      <c r="M18" s="12" t="str">
        <f aca="false">IF($B18="","",IFERROR(INDEX(材料DB!G$5:G$130,MATCH($B18,材料DB!$B$5:$B$130,0)),"材料なし"))</f>
        <v/>
      </c>
      <c r="N18" s="12" t="str">
        <f aca="false">IF(OR($B18="",$D18=""),"",IFERROR($D18*M18,""))</f>
        <v/>
      </c>
      <c r="O18" s="12" t="str">
        <f aca="false">IF($B18="","",IFERROR(INDEX(材料DB!H$5:H$130,MATCH($B18,材料DB!$B$5:$B$130,0)),"材料なし"))</f>
        <v/>
      </c>
      <c r="P18" s="12" t="str">
        <f aca="false">IF(OR($B18="",$D18=""),"",IFERROR($D18*O18,""))</f>
        <v/>
      </c>
    </row>
    <row r="19" customFormat="false" ht="15" hidden="false" customHeight="false" outlineLevel="0" collapsed="false">
      <c r="A19" s="8"/>
      <c r="B19" s="9"/>
      <c r="C19" s="10"/>
      <c r="D19" s="11"/>
      <c r="E19" s="12" t="str">
        <f aca="false">IF($B19="","",IFERROR(INDEX(材料DB!C$5:C$130,MATCH($B19,材料DB!$B$5:$B$130,0)),"材料なし"))</f>
        <v/>
      </c>
      <c r="F19" s="12" t="str">
        <f aca="false">IF(OR($B19="",$D19=""),"",IFERROR($D19*E19,""))</f>
        <v/>
      </c>
      <c r="G19" s="12" t="str">
        <f aca="false">IF($B19="","",IFERROR(INDEX(材料DB!D$5:D$130,MATCH($B19,材料DB!$B$5:$B$130,0)),"材料なし"))</f>
        <v/>
      </c>
      <c r="H19" s="12" t="str">
        <f aca="false">IF(OR($B19="",$D19=""),"",IFERROR($D19*G19,""))</f>
        <v/>
      </c>
      <c r="I19" s="12" t="str">
        <f aca="false">IF($B19="","",IFERROR(INDEX(材料DB!E$5:E$130,MATCH($B19,材料DB!$B$5:$B$130,0)),"材料なし"))</f>
        <v/>
      </c>
      <c r="J19" s="12" t="str">
        <f aca="false">IF(OR($B19="",$D19=""),"",IFERROR($D19*I19,""))</f>
        <v/>
      </c>
      <c r="K19" s="12" t="str">
        <f aca="false">IF($B19="","",IFERROR(INDEX(材料DB!F$5:F$130,MATCH($B19,材料DB!$B$5:$B$130,0)),"材料なし"))</f>
        <v/>
      </c>
      <c r="L19" s="12" t="str">
        <f aca="false">IF(OR($B19="",$D19=""),"",IFERROR($D19*K19,""))</f>
        <v/>
      </c>
      <c r="M19" s="12" t="str">
        <f aca="false">IF($B19="","",IFERROR(INDEX(材料DB!G$5:G$130,MATCH($B19,材料DB!$B$5:$B$130,0)),"材料なし"))</f>
        <v/>
      </c>
      <c r="N19" s="12" t="str">
        <f aca="false">IF(OR($B19="",$D19=""),"",IFERROR($D19*M19,""))</f>
        <v/>
      </c>
      <c r="O19" s="12" t="str">
        <f aca="false">IF($B19="","",IFERROR(INDEX(材料DB!H$5:H$130,MATCH($B19,材料DB!$B$5:$B$130,0)),"材料なし"))</f>
        <v/>
      </c>
      <c r="P19" s="12" t="str">
        <f aca="false">IF(OR($B19="",$D19=""),"",IFERROR($D19*O19,""))</f>
        <v/>
      </c>
    </row>
    <row r="20" customFormat="false" ht="15" hidden="false" customHeight="false" outlineLevel="0" collapsed="false">
      <c r="A20" s="8"/>
      <c r="B20" s="9"/>
      <c r="C20" s="10"/>
      <c r="D20" s="11"/>
      <c r="E20" s="12" t="str">
        <f aca="false">IF($B20="","",IFERROR(INDEX(材料DB!C$5:C$130,MATCH($B20,材料DB!$B$5:$B$130,0)),"材料なし"))</f>
        <v/>
      </c>
      <c r="F20" s="12" t="str">
        <f aca="false">IF(OR($B20="",$D20=""),"",IFERROR($D20*E20,""))</f>
        <v/>
      </c>
      <c r="G20" s="12" t="str">
        <f aca="false">IF($B20="","",IFERROR(INDEX(材料DB!D$5:D$130,MATCH($B20,材料DB!$B$5:$B$130,0)),"材料なし"))</f>
        <v/>
      </c>
      <c r="H20" s="12" t="str">
        <f aca="false">IF(OR($B20="",$D20=""),"",IFERROR($D20*G20,""))</f>
        <v/>
      </c>
      <c r="I20" s="12" t="str">
        <f aca="false">IF($B20="","",IFERROR(INDEX(材料DB!E$5:E$130,MATCH($B20,材料DB!$B$5:$B$130,0)),"材料なし"))</f>
        <v/>
      </c>
      <c r="J20" s="12" t="str">
        <f aca="false">IF(OR($B20="",$D20=""),"",IFERROR($D20*I20,""))</f>
        <v/>
      </c>
      <c r="K20" s="12" t="str">
        <f aca="false">IF($B20="","",IFERROR(INDEX(材料DB!F$5:F$130,MATCH($B20,材料DB!$B$5:$B$130,0)),"材料なし"))</f>
        <v/>
      </c>
      <c r="L20" s="12" t="str">
        <f aca="false">IF(OR($B20="",$D20=""),"",IFERROR($D20*K20,""))</f>
        <v/>
      </c>
      <c r="M20" s="12" t="str">
        <f aca="false">IF($B20="","",IFERROR(INDEX(材料DB!G$5:G$130,MATCH($B20,材料DB!$B$5:$B$130,0)),"材料なし"))</f>
        <v/>
      </c>
      <c r="N20" s="12" t="str">
        <f aca="false">IF(OR($B20="",$D20=""),"",IFERROR($D20*M20,""))</f>
        <v/>
      </c>
      <c r="O20" s="12" t="str">
        <f aca="false">IF($B20="","",IFERROR(INDEX(材料DB!H$5:H$130,MATCH($B20,材料DB!$B$5:$B$130,0)),"材料なし"))</f>
        <v/>
      </c>
      <c r="P20" s="12" t="str">
        <f aca="false">IF(OR($B20="",$D20=""),"",IFERROR($D20*O20,""))</f>
        <v/>
      </c>
    </row>
    <row r="21" customFormat="false" ht="15" hidden="false" customHeight="false" outlineLevel="0" collapsed="false">
      <c r="A21" s="8"/>
      <c r="B21" s="9"/>
      <c r="C21" s="10"/>
      <c r="D21" s="11"/>
      <c r="E21" s="12" t="str">
        <f aca="false">IF($B21="","",IFERROR(INDEX(材料DB!C$5:C$130,MATCH($B21,材料DB!$B$5:$B$130,0)),"材料なし"))</f>
        <v/>
      </c>
      <c r="F21" s="12" t="str">
        <f aca="false">IF(OR($B21="",$D21=""),"",IFERROR($D21*E21,""))</f>
        <v/>
      </c>
      <c r="G21" s="12" t="str">
        <f aca="false">IF($B21="","",IFERROR(INDEX(材料DB!D$5:D$130,MATCH($B21,材料DB!$B$5:$B$130,0)),"材料なし"))</f>
        <v/>
      </c>
      <c r="H21" s="12" t="str">
        <f aca="false">IF(OR($B21="",$D21=""),"",IFERROR($D21*G21,""))</f>
        <v/>
      </c>
      <c r="I21" s="12" t="str">
        <f aca="false">IF($B21="","",IFERROR(INDEX(材料DB!E$5:E$130,MATCH($B21,材料DB!$B$5:$B$130,0)),"材料なし"))</f>
        <v/>
      </c>
      <c r="J21" s="12" t="str">
        <f aca="false">IF(OR($B21="",$D21=""),"",IFERROR($D21*I21,""))</f>
        <v/>
      </c>
      <c r="K21" s="12" t="str">
        <f aca="false">IF($B21="","",IFERROR(INDEX(材料DB!F$5:F$130,MATCH($B21,材料DB!$B$5:$B$130,0)),"材料なし"))</f>
        <v/>
      </c>
      <c r="L21" s="12" t="str">
        <f aca="false">IF(OR($B21="",$D21=""),"",IFERROR($D21*K21,""))</f>
        <v/>
      </c>
      <c r="M21" s="12" t="str">
        <f aca="false">IF($B21="","",IFERROR(INDEX(材料DB!G$5:G$130,MATCH($B21,材料DB!$B$5:$B$130,0)),"材料なし"))</f>
        <v/>
      </c>
      <c r="N21" s="12" t="str">
        <f aca="false">IF(OR($B21="",$D21=""),"",IFERROR($D21*M21,""))</f>
        <v/>
      </c>
      <c r="O21" s="12" t="str">
        <f aca="false">IF($B21="","",IFERROR(INDEX(材料DB!H$5:H$130,MATCH($B21,材料DB!$B$5:$B$130,0)),"材料なし"))</f>
        <v/>
      </c>
      <c r="P21" s="12" t="str">
        <f aca="false">IF(OR($B21="",$D21=""),"",IFERROR($D21*O21,""))</f>
        <v/>
      </c>
    </row>
    <row r="22" customFormat="false" ht="15" hidden="false" customHeight="false" outlineLevel="0" collapsed="false">
      <c r="A22" s="8"/>
      <c r="B22" s="9"/>
      <c r="C22" s="10"/>
      <c r="D22" s="11"/>
      <c r="E22" s="12" t="str">
        <f aca="false">IF($B22="","",IFERROR(INDEX(材料DB!C$5:C$130,MATCH($B22,材料DB!$B$5:$B$130,0)),"材料なし"))</f>
        <v/>
      </c>
      <c r="F22" s="12" t="str">
        <f aca="false">IF(OR($B22="",$D22=""),"",IFERROR($D22*E22,""))</f>
        <v/>
      </c>
      <c r="G22" s="12" t="str">
        <f aca="false">IF($B22="","",IFERROR(INDEX(材料DB!D$5:D$130,MATCH($B22,材料DB!$B$5:$B$130,0)),"材料なし"))</f>
        <v/>
      </c>
      <c r="H22" s="12" t="str">
        <f aca="false">IF(OR($B22="",$D22=""),"",IFERROR($D22*G22,""))</f>
        <v/>
      </c>
      <c r="I22" s="12" t="str">
        <f aca="false">IF($B22="","",IFERROR(INDEX(材料DB!E$5:E$130,MATCH($B22,材料DB!$B$5:$B$130,0)),"材料なし"))</f>
        <v/>
      </c>
      <c r="J22" s="12" t="str">
        <f aca="false">IF(OR($B22="",$D22=""),"",IFERROR($D22*I22,""))</f>
        <v/>
      </c>
      <c r="K22" s="12" t="str">
        <f aca="false">IF($B22="","",IFERROR(INDEX(材料DB!F$5:F$130,MATCH($B22,材料DB!$B$5:$B$130,0)),"材料なし"))</f>
        <v/>
      </c>
      <c r="L22" s="12" t="str">
        <f aca="false">IF(OR($B22="",$D22=""),"",IFERROR($D22*K22,""))</f>
        <v/>
      </c>
      <c r="M22" s="12" t="str">
        <f aca="false">IF($B22="","",IFERROR(INDEX(材料DB!G$5:G$130,MATCH($B22,材料DB!$B$5:$B$130,0)),"材料なし"))</f>
        <v/>
      </c>
      <c r="N22" s="12" t="str">
        <f aca="false">IF(OR($B22="",$D22=""),"",IFERROR($D22*M22,""))</f>
        <v/>
      </c>
      <c r="O22" s="12" t="str">
        <f aca="false">IF($B22="","",IFERROR(INDEX(材料DB!H$5:H$130,MATCH($B22,材料DB!$B$5:$B$130,0)),"材料なし"))</f>
        <v/>
      </c>
      <c r="P22" s="12" t="str">
        <f aca="false">IF(OR($B22="",$D22=""),"",IFERROR($D22*O22,""))</f>
        <v/>
      </c>
    </row>
    <row r="23" customFormat="false" ht="15" hidden="false" customHeight="false" outlineLevel="0" collapsed="false">
      <c r="A23" s="8"/>
      <c r="B23" s="9"/>
      <c r="C23" s="10"/>
      <c r="D23" s="11"/>
      <c r="E23" s="12" t="str">
        <f aca="false">IF($B23="","",IFERROR(INDEX(材料DB!C$5:C$130,MATCH($B23,材料DB!$B$5:$B$130,0)),"材料なし"))</f>
        <v/>
      </c>
      <c r="F23" s="12" t="str">
        <f aca="false">IF(OR($B23="",$D23=""),"",IFERROR($D23*E23,""))</f>
        <v/>
      </c>
      <c r="G23" s="12" t="str">
        <f aca="false">IF($B23="","",IFERROR(INDEX(材料DB!D$5:D$130,MATCH($B23,材料DB!$B$5:$B$130,0)),"材料なし"))</f>
        <v/>
      </c>
      <c r="H23" s="12" t="str">
        <f aca="false">IF(OR($B23="",$D23=""),"",IFERROR($D23*G23,""))</f>
        <v/>
      </c>
      <c r="I23" s="12" t="str">
        <f aca="false">IF($B23="","",IFERROR(INDEX(材料DB!E$5:E$130,MATCH($B23,材料DB!$B$5:$B$130,0)),"材料なし"))</f>
        <v/>
      </c>
      <c r="J23" s="12" t="str">
        <f aca="false">IF(OR($B23="",$D23=""),"",IFERROR($D23*I23,""))</f>
        <v/>
      </c>
      <c r="K23" s="12" t="str">
        <f aca="false">IF($B23="","",IFERROR(INDEX(材料DB!F$5:F$130,MATCH($B23,材料DB!$B$5:$B$130,0)),"材料なし"))</f>
        <v/>
      </c>
      <c r="L23" s="12" t="str">
        <f aca="false">IF(OR($B23="",$D23=""),"",IFERROR($D23*K23,""))</f>
        <v/>
      </c>
      <c r="M23" s="12" t="str">
        <f aca="false">IF($B23="","",IFERROR(INDEX(材料DB!G$5:G$130,MATCH($B23,材料DB!$B$5:$B$130,0)),"材料なし"))</f>
        <v/>
      </c>
      <c r="N23" s="12" t="str">
        <f aca="false">IF(OR($B23="",$D23=""),"",IFERROR($D23*M23,""))</f>
        <v/>
      </c>
      <c r="O23" s="12" t="str">
        <f aca="false">IF($B23="","",IFERROR(INDEX(材料DB!H$5:H$130,MATCH($B23,材料DB!$B$5:$B$130,0)),"材料なし"))</f>
        <v/>
      </c>
      <c r="P23" s="12" t="str">
        <f aca="false">IF(OR($B23="",$D23=""),"",IFERROR($D23*O23,""))</f>
        <v/>
      </c>
    </row>
    <row r="24" customFormat="false" ht="15" hidden="false" customHeight="false" outlineLevel="0" collapsed="false">
      <c r="A24" s="8"/>
      <c r="B24" s="9"/>
      <c r="C24" s="10"/>
      <c r="D24" s="11"/>
      <c r="E24" s="12" t="str">
        <f aca="false">IF($B24="","",IFERROR(INDEX(材料DB!C$5:C$130,MATCH($B24,材料DB!$B$5:$B$130,0)),"材料なし"))</f>
        <v/>
      </c>
      <c r="F24" s="12" t="str">
        <f aca="false">IF(OR($B24="",$D24=""),"",IFERROR($D24*E24,""))</f>
        <v/>
      </c>
      <c r="G24" s="12" t="str">
        <f aca="false">IF($B24="","",IFERROR(INDEX(材料DB!D$5:D$130,MATCH($B24,材料DB!$B$5:$B$130,0)),"材料なし"))</f>
        <v/>
      </c>
      <c r="H24" s="12" t="str">
        <f aca="false">IF(OR($B24="",$D24=""),"",IFERROR($D24*G24,""))</f>
        <v/>
      </c>
      <c r="I24" s="12" t="str">
        <f aca="false">IF($B24="","",IFERROR(INDEX(材料DB!E$5:E$130,MATCH($B24,材料DB!$B$5:$B$130,0)),"材料なし"))</f>
        <v/>
      </c>
      <c r="J24" s="12" t="str">
        <f aca="false">IF(OR($B24="",$D24=""),"",IFERROR($D24*I24,""))</f>
        <v/>
      </c>
      <c r="K24" s="12" t="str">
        <f aca="false">IF($B24="","",IFERROR(INDEX(材料DB!F$5:F$130,MATCH($B24,材料DB!$B$5:$B$130,0)),"材料なし"))</f>
        <v/>
      </c>
      <c r="L24" s="12" t="str">
        <f aca="false">IF(OR($B24="",$D24=""),"",IFERROR($D24*K24,""))</f>
        <v/>
      </c>
      <c r="M24" s="12" t="str">
        <f aca="false">IF($B24="","",IFERROR(INDEX(材料DB!G$5:G$130,MATCH($B24,材料DB!$B$5:$B$130,0)),"材料なし"))</f>
        <v/>
      </c>
      <c r="N24" s="12" t="str">
        <f aca="false">IF(OR($B24="",$D24=""),"",IFERROR($D24*M24,""))</f>
        <v/>
      </c>
      <c r="O24" s="12" t="str">
        <f aca="false">IF($B24="","",IFERROR(INDEX(材料DB!H$5:H$130,MATCH($B24,材料DB!$B$5:$B$130,0)),"材料なし"))</f>
        <v/>
      </c>
      <c r="P24" s="12" t="str">
        <f aca="false">IF(OR($B24="",$D24=""),"",IFERROR($D24*O24,""))</f>
        <v/>
      </c>
    </row>
    <row r="25" customFormat="false" ht="15" hidden="false" customHeight="false" outlineLevel="0" collapsed="false">
      <c r="A25" s="8"/>
      <c r="B25" s="9"/>
      <c r="C25" s="10"/>
      <c r="D25" s="11"/>
      <c r="E25" s="12" t="str">
        <f aca="false">IF($B25="","",IFERROR(INDEX(材料DB!C$5:C$130,MATCH($B25,材料DB!$B$5:$B$130,0)),"材料なし"))</f>
        <v/>
      </c>
      <c r="F25" s="12" t="str">
        <f aca="false">IF(OR($B25="",$D25=""),"",IFERROR($D25*E25,""))</f>
        <v/>
      </c>
      <c r="G25" s="12" t="str">
        <f aca="false">IF($B25="","",IFERROR(INDEX(材料DB!D$5:D$130,MATCH($B25,材料DB!$B$5:$B$130,0)),"材料なし"))</f>
        <v/>
      </c>
      <c r="H25" s="12" t="str">
        <f aca="false">IF(OR($B25="",$D25=""),"",IFERROR($D25*G25,""))</f>
        <v/>
      </c>
      <c r="I25" s="12" t="str">
        <f aca="false">IF($B25="","",IFERROR(INDEX(材料DB!E$5:E$130,MATCH($B25,材料DB!$B$5:$B$130,0)),"材料なし"))</f>
        <v/>
      </c>
      <c r="J25" s="12" t="str">
        <f aca="false">IF(OR($B25="",$D25=""),"",IFERROR($D25*I25,""))</f>
        <v/>
      </c>
      <c r="K25" s="12" t="str">
        <f aca="false">IF($B25="","",IFERROR(INDEX(材料DB!F$5:F$130,MATCH($B25,材料DB!$B$5:$B$130,0)),"材料なし"))</f>
        <v/>
      </c>
      <c r="L25" s="12" t="str">
        <f aca="false">IF(OR($B25="",$D25=""),"",IFERROR($D25*K25,""))</f>
        <v/>
      </c>
      <c r="M25" s="12" t="str">
        <f aca="false">IF($B25="","",IFERROR(INDEX(材料DB!G$5:G$130,MATCH($B25,材料DB!$B$5:$B$130,0)),"材料なし"))</f>
        <v/>
      </c>
      <c r="N25" s="12" t="str">
        <f aca="false">IF(OR($B25="",$D25=""),"",IFERROR($D25*M25,""))</f>
        <v/>
      </c>
      <c r="O25" s="12" t="str">
        <f aca="false">IF($B25="","",IFERROR(INDEX(材料DB!H$5:H$130,MATCH($B25,材料DB!$B$5:$B$130,0)),"材料なし"))</f>
        <v/>
      </c>
      <c r="P25" s="12" t="str">
        <f aca="false">IF(OR($B25="",$D25=""),"",IFERROR($D25*O25,""))</f>
        <v/>
      </c>
    </row>
    <row r="27" customFormat="false" ht="15" hidden="false" customHeight="false" outlineLevel="0" collapsed="false">
      <c r="A27" s="3" t="s">
        <v>68</v>
      </c>
      <c r="D27" s="15" t="n">
        <f aca="false">SUMIF($C$6:$C$25,"共通",$D$6:$D$25)</f>
        <v>994</v>
      </c>
      <c r="E27" s="16" t="s">
        <v>69</v>
      </c>
      <c r="G27" s="17" t="s">
        <v>70</v>
      </c>
      <c r="I27" s="15" t="n">
        <f aca="false">D27+SUMIF($C$6:$C$25,"空席",$D$6:$D$25)</f>
        <v>1144</v>
      </c>
      <c r="Q27" s="13" t="s">
        <v>71</v>
      </c>
    </row>
    <row r="28" customFormat="false" ht="15" hidden="false" customHeight="false" outlineLevel="0" collapsed="false">
      <c r="A28" s="3" t="s">
        <v>72</v>
      </c>
      <c r="D28" s="18" t="n">
        <v>2520</v>
      </c>
      <c r="E28" s="16" t="s">
        <v>73</v>
      </c>
    </row>
    <row r="30" customFormat="false" ht="15" hidden="false" customHeight="false" outlineLevel="0" collapsed="false">
      <c r="A30" s="3" t="s">
        <v>74</v>
      </c>
      <c r="C30" s="3" t="s">
        <v>75</v>
      </c>
      <c r="F30" s="19" t="n">
        <f aca="false">SUMIF($C$6:$C$25,"共通",F$6:F$25)+SUMIF($C$6:$C$25,"空席",F$6:F$25)</f>
        <v>272.862</v>
      </c>
      <c r="H30" s="19" t="n">
        <f aca="false">SUMIF($C$6:$C$25,"共通",H$6:H$25)+SUMIF($C$6:$C$25,"空席",H$6:H$25)</f>
        <v>324.572</v>
      </c>
      <c r="J30" s="19" t="n">
        <f aca="false">SUMIF($C$6:$C$25,"共通",J$6:J$25)+SUMIF($C$6:$C$25,"空席",J$6:J$25)</f>
        <v>361.3444</v>
      </c>
      <c r="L30" s="19" t="n">
        <f aca="false">SUMIF($C$6:$C$25,"共通",L$6:L$25)+SUMIF($C$6:$C$25,"空席",L$6:L$25)</f>
        <v>363.808</v>
      </c>
      <c r="N30" s="19" t="n">
        <f aca="false">SUMIF($C$6:$C$25,"共通",N$6:N$25)+SUMIF($C$6:$C$25,"空席",N$6:N$25)</f>
        <v>341.632</v>
      </c>
      <c r="P30" s="19" t="n">
        <f aca="false">SUMIF($C$6:$C$25,"共通",P$6:P$25)+SUMIF($C$6:$C$25,"空席",P$6:P$25)</f>
        <v>325.8124</v>
      </c>
    </row>
    <row r="31" customFormat="false" ht="15" hidden="false" customHeight="false" outlineLevel="0" collapsed="false">
      <c r="A31" s="3"/>
      <c r="C31" s="3" t="s">
        <v>76</v>
      </c>
      <c r="F31" s="19" t="n">
        <f aca="false">SUMIF($C$6:$C$25,"共通",F$6:F$25)+SUMIF($C$6:$C$25,"満席",F$6:F$25)</f>
        <v>289.362</v>
      </c>
      <c r="H31" s="19" t="n">
        <f aca="false">SUMIF($C$6:$C$25,"共通",H$6:H$25)+SUMIF($C$6:$C$25,"満席",H$6:H$25)</f>
        <v>339.572</v>
      </c>
      <c r="J31" s="19" t="n">
        <f aca="false">SUMIF($C$6:$C$25,"共通",J$6:J$25)+SUMIF($C$6:$C$25,"満席",J$6:J$25)</f>
        <v>376.3444</v>
      </c>
      <c r="L31" s="19" t="n">
        <f aca="false">SUMIF($C$6:$C$25,"共通",L$6:L$25)+SUMIF($C$6:$C$25,"満席",L$6:L$25)</f>
        <v>378.808</v>
      </c>
      <c r="N31" s="19" t="n">
        <f aca="false">SUMIF($C$6:$C$25,"共通",N$6:N$25)+SUMIF($C$6:$C$25,"満席",N$6:N$25)</f>
        <v>356.632</v>
      </c>
      <c r="P31" s="19" t="n">
        <f aca="false">SUMIF($C$6:$C$25,"共通",P$6:P$25)+SUMIF($C$6:$C$25,"満席",P$6:P$25)</f>
        <v>340.8124</v>
      </c>
    </row>
    <row r="32" customFormat="false" ht="15" hidden="false" customHeight="false" outlineLevel="0" collapsed="false">
      <c r="A32" s="3" t="s">
        <v>77</v>
      </c>
      <c r="C32" s="3" t="s">
        <v>75</v>
      </c>
      <c r="F32" s="20" t="n">
        <f aca="false">IF(OR(F30=0,$D$28=""),"",0.16*$D$28/F30)</f>
        <v>1.47767003100468</v>
      </c>
      <c r="H32" s="20" t="n">
        <f aca="false">IF(OR(H30=0,$D$28=""),"",0.16*$D$28/H30)</f>
        <v>1.24225133406455</v>
      </c>
      <c r="J32" s="20" t="n">
        <f aca="false">IF(OR(J30=0,$D$28=""),"",0.16*$D$28/J30)</f>
        <v>1.11583298371305</v>
      </c>
      <c r="L32" s="20" t="n">
        <f aca="false">IF(OR(L30=0,$D$28=""),"",0.16*$D$28/L30)</f>
        <v>1.10827689330636</v>
      </c>
      <c r="N32" s="20" t="n">
        <f aca="false">IF(OR(N30=0,$D$28=""),"",0.16*$D$28/N30)</f>
        <v>1.18021730985388</v>
      </c>
      <c r="P32" s="20" t="n">
        <f aca="false">IF(OR(P30=0,$D$28=""),"",0.16*$D$28/P30)</f>
        <v>1.23752196049015</v>
      </c>
    </row>
    <row r="33" customFormat="false" ht="15" hidden="false" customHeight="false" outlineLevel="0" collapsed="false">
      <c r="A33" s="3"/>
      <c r="C33" s="3" t="s">
        <v>76</v>
      </c>
      <c r="F33" s="20" t="n">
        <f aca="false">IF(OR(F31=0,$D$28=""),"",0.16*$D$28/F31)</f>
        <v>1.3934103303129</v>
      </c>
      <c r="H33" s="20" t="n">
        <f aca="false">IF(OR(H31=0,$D$28=""),"",0.16*$D$28/H31)</f>
        <v>1.1873770511114</v>
      </c>
      <c r="J33" s="20" t="n">
        <f aca="false">IF(OR(J31=0,$D$28=""),"",0.16*$D$28/J31)</f>
        <v>1.0713591061804</v>
      </c>
      <c r="L33" s="20" t="n">
        <f aca="false">IF(OR(L31=0,$D$28=""),"",0.16*$D$28/L31)</f>
        <v>1.06439145952567</v>
      </c>
      <c r="N33" s="20" t="n">
        <f aca="false">IF(OR(N31=0,$D$28=""),"",0.16*$D$28/N31)</f>
        <v>1.13057717759483</v>
      </c>
      <c r="P33" s="20" t="n">
        <f aca="false">IF(OR(P31=0,$D$28=""),"",0.16*$D$28/P31)</f>
        <v>1.18305554610102</v>
      </c>
    </row>
    <row r="36" customFormat="false" ht="15" hidden="false" customHeight="false" outlineLevel="0" collapsed="false">
      <c r="A36" s="3" t="s">
        <v>78</v>
      </c>
    </row>
    <row r="37" customFormat="false" ht="15" hidden="false" customHeight="false" outlineLevel="0" collapsed="false">
      <c r="A37" s="21" t="s">
        <v>79</v>
      </c>
      <c r="B37" s="21" t="s">
        <v>75</v>
      </c>
      <c r="C37" s="21" t="s">
        <v>76</v>
      </c>
    </row>
    <row r="38" customFormat="false" ht="15" hidden="false" customHeight="false" outlineLevel="0" collapsed="false">
      <c r="A38" s="22" t="s">
        <v>80</v>
      </c>
      <c r="B38" s="23" t="n">
        <f aca="false">F32</f>
        <v>1.47767003100468</v>
      </c>
      <c r="C38" s="23" t="n">
        <f aca="false">F33</f>
        <v>1.3934103303129</v>
      </c>
    </row>
    <row r="39" customFormat="false" ht="15" hidden="false" customHeight="false" outlineLevel="0" collapsed="false">
      <c r="A39" s="22" t="s">
        <v>81</v>
      </c>
      <c r="B39" s="23" t="n">
        <f aca="false">H32</f>
        <v>1.24225133406455</v>
      </c>
      <c r="C39" s="23" t="n">
        <f aca="false">H33</f>
        <v>1.1873770511114</v>
      </c>
    </row>
    <row r="40" customFormat="false" ht="15" hidden="false" customHeight="false" outlineLevel="0" collapsed="false">
      <c r="A40" s="22" t="s">
        <v>82</v>
      </c>
      <c r="B40" s="23" t="n">
        <f aca="false">J32</f>
        <v>1.11583298371305</v>
      </c>
      <c r="C40" s="23" t="n">
        <f aca="false">J33</f>
        <v>1.0713591061804</v>
      </c>
    </row>
    <row r="41" customFormat="false" ht="15" hidden="false" customHeight="false" outlineLevel="0" collapsed="false">
      <c r="A41" s="22" t="s">
        <v>83</v>
      </c>
      <c r="B41" s="23" t="n">
        <f aca="false">L32</f>
        <v>1.10827689330636</v>
      </c>
      <c r="C41" s="23" t="n">
        <f aca="false">L33</f>
        <v>1.06439145952567</v>
      </c>
    </row>
    <row r="42" customFormat="false" ht="15" hidden="false" customHeight="false" outlineLevel="0" collapsed="false">
      <c r="A42" s="22" t="s">
        <v>84</v>
      </c>
      <c r="B42" s="23" t="n">
        <f aca="false">N32</f>
        <v>1.18021730985388</v>
      </c>
      <c r="C42" s="23" t="n">
        <f aca="false">N33</f>
        <v>1.13057717759483</v>
      </c>
    </row>
    <row r="43" customFormat="false" ht="15" hidden="false" customHeight="false" outlineLevel="0" collapsed="false">
      <c r="A43" s="22" t="s">
        <v>85</v>
      </c>
      <c r="B43" s="23" t="n">
        <f aca="false">P32</f>
        <v>1.23752196049015</v>
      </c>
      <c r="C43" s="23" t="n">
        <f aca="false">P33</f>
        <v>1.18305554610102</v>
      </c>
    </row>
    <row r="52" customFormat="false" ht="15" hidden="false" customHeight="false" outlineLevel="0" collapsed="false">
      <c r="A52" s="3" t="s">
        <v>86</v>
      </c>
    </row>
    <row r="53" customFormat="false" ht="15" hidden="false" customHeight="false" outlineLevel="0" collapsed="false">
      <c r="A53" s="17" t="s">
        <v>87</v>
      </c>
      <c r="D53" s="24" t="s">
        <v>88</v>
      </c>
    </row>
    <row r="54" customFormat="false" ht="15" hidden="false" customHeight="false" outlineLevel="0" collapsed="false">
      <c r="A54" s="17" t="s">
        <v>89</v>
      </c>
      <c r="D54" s="25"/>
    </row>
    <row r="55" customFormat="false" ht="15" hidden="false" customHeight="false" outlineLevel="0" collapsed="false">
      <c r="A55" s="17" t="s">
        <v>90</v>
      </c>
      <c r="D55" s="25"/>
    </row>
    <row r="56" customFormat="false" ht="15" hidden="false" customHeight="false" outlineLevel="0" collapsed="false">
      <c r="A56" s="17" t="s">
        <v>91</v>
      </c>
      <c r="D56" s="26" t="n">
        <f aca="false">J33</f>
        <v>1.0713591061804</v>
      </c>
    </row>
    <row r="57" customFormat="false" ht="15" hidden="false" customHeight="false" outlineLevel="0" collapsed="false">
      <c r="A57" s="17" t="s">
        <v>92</v>
      </c>
      <c r="D57" s="0" t="str">
        <f aca="false">IF(OR(D54="",D55="",D56=""),"最適値を入力してください",IF(AND(D56&gt;=D54,D56&lt;=D55),"範囲内 OK",IF(D56&gt;D55,"長すぎ → 吸音を増やす","短すぎ → 吸音を減らす")))</f>
        <v>最適値を入力してください</v>
      </c>
    </row>
    <row r="58" customFormat="false" ht="15" hidden="false" customHeight="false" outlineLevel="0" collapsed="false">
      <c r="A58" s="13" t="s">
        <v>93</v>
      </c>
    </row>
  </sheetData>
  <mergeCells count="10"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dataValidations count="2">
    <dataValidation allowBlank="true" error="材料DBシートに材料を追加してから選んでください。" errorStyle="stop" errorTitle="材料DBに無い材料" operator="between" showDropDown="false" showErrorMessage="true" showInputMessage="false" sqref="B6:B25" type="list">
      <formula1>材料DB!$B$5:$B$130</formula1>
      <formula2>0</formula2>
    </dataValidation>
    <dataValidation allowBlank="true" errorStyle="stop" operator="between" showDropDown="false" showErrorMessage="false" showInputMessage="false" sqref="C6:C25" type="list">
      <formula1>"共通,空席,満席"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8" min="3" style="0" width="8"/>
    <col collapsed="false" customWidth="true" hidden="false" outlineLevel="0" max="9" min="9" style="0" width="28"/>
  </cols>
  <sheetData>
    <row r="1" customFormat="false" ht="17.15" hidden="false" customHeight="false" outlineLevel="0" collapsed="false">
      <c r="A1" s="5" t="s">
        <v>94</v>
      </c>
    </row>
    <row r="2" customFormat="false" ht="15" hidden="false" customHeight="false" outlineLevel="0" collapsed="false">
      <c r="A2" s="13" t="s">
        <v>95</v>
      </c>
    </row>
    <row r="4" customFormat="false" ht="15" hidden="false" customHeight="false" outlineLevel="0" collapsed="false">
      <c r="A4" s="7" t="s">
        <v>96</v>
      </c>
      <c r="B4" s="6" t="s">
        <v>97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6" t="s">
        <v>98</v>
      </c>
    </row>
    <row r="5" customFormat="false" ht="15" hidden="false" customHeight="false" outlineLevel="0" collapsed="false">
      <c r="A5" s="22" t="n">
        <v>1</v>
      </c>
      <c r="B5" s="27" t="s">
        <v>99</v>
      </c>
      <c r="C5" s="28" t="n">
        <v>0.01</v>
      </c>
      <c r="D5" s="28" t="n">
        <v>0.01</v>
      </c>
      <c r="E5" s="28" t="n">
        <v>0.02</v>
      </c>
      <c r="F5" s="28" t="n">
        <v>0.02</v>
      </c>
      <c r="G5" s="28" t="n">
        <v>0.03</v>
      </c>
      <c r="H5" s="28" t="n">
        <v>0.03</v>
      </c>
      <c r="I5" s="29" t="s">
        <v>100</v>
      </c>
    </row>
    <row r="6" customFormat="false" ht="15" hidden="false" customHeight="false" outlineLevel="0" collapsed="false">
      <c r="A6" s="22" t="n">
        <v>2</v>
      </c>
      <c r="B6" s="27" t="s">
        <v>101</v>
      </c>
      <c r="C6" s="28" t="n">
        <v>0.03</v>
      </c>
      <c r="D6" s="28" t="n">
        <v>0.03</v>
      </c>
      <c r="E6" s="28" t="n">
        <v>0.03</v>
      </c>
      <c r="F6" s="28" t="n">
        <v>0.04</v>
      </c>
      <c r="G6" s="28" t="n">
        <v>0.06</v>
      </c>
      <c r="H6" s="28" t="n">
        <v>0.08</v>
      </c>
      <c r="I6" s="29" t="s">
        <v>100</v>
      </c>
    </row>
    <row r="7" customFormat="false" ht="15" hidden="false" customHeight="false" outlineLevel="0" collapsed="false">
      <c r="A7" s="22" t="n">
        <v>3</v>
      </c>
      <c r="B7" s="27" t="s">
        <v>102</v>
      </c>
      <c r="C7" s="28" t="n">
        <v>0.04</v>
      </c>
      <c r="D7" s="28" t="n">
        <v>0.1</v>
      </c>
      <c r="E7" s="28" t="n">
        <v>0.17</v>
      </c>
      <c r="F7" s="28" t="n">
        <v>0.17</v>
      </c>
      <c r="G7" s="28" t="n">
        <v>0.19</v>
      </c>
      <c r="H7" s="28" t="n">
        <v>0.2</v>
      </c>
      <c r="I7" s="29" t="s">
        <v>100</v>
      </c>
    </row>
    <row r="8" customFormat="false" ht="15" hidden="false" customHeight="false" outlineLevel="0" collapsed="false">
      <c r="A8" s="22" t="n">
        <v>4</v>
      </c>
      <c r="B8" s="27" t="s">
        <v>103</v>
      </c>
      <c r="C8" s="28" t="n">
        <v>0.12</v>
      </c>
      <c r="D8" s="28" t="n">
        <v>0.22</v>
      </c>
      <c r="E8" s="28" t="n">
        <v>0.2</v>
      </c>
      <c r="F8" s="28" t="n">
        <v>0.2</v>
      </c>
      <c r="G8" s="28" t="n">
        <v>0.23</v>
      </c>
      <c r="H8" s="28" t="n">
        <v>0.27</v>
      </c>
      <c r="I8" s="29" t="s">
        <v>100</v>
      </c>
    </row>
    <row r="9" customFormat="false" ht="15" hidden="false" customHeight="false" outlineLevel="0" collapsed="false">
      <c r="A9" s="22" t="n">
        <v>5</v>
      </c>
      <c r="B9" s="27" t="s">
        <v>59</v>
      </c>
      <c r="C9" s="28" t="n">
        <v>0.18</v>
      </c>
      <c r="D9" s="28" t="n">
        <v>0.06</v>
      </c>
      <c r="E9" s="28" t="n">
        <v>0.04</v>
      </c>
      <c r="F9" s="28" t="n">
        <v>0.03</v>
      </c>
      <c r="G9" s="28" t="n">
        <v>0.02</v>
      </c>
      <c r="H9" s="28" t="n">
        <v>0.02</v>
      </c>
      <c r="I9" s="29" t="s">
        <v>100</v>
      </c>
    </row>
    <row r="10" customFormat="false" ht="15" hidden="false" customHeight="false" outlineLevel="0" collapsed="false">
      <c r="A10" s="22" t="n">
        <v>6</v>
      </c>
      <c r="B10" s="27" t="s">
        <v>104</v>
      </c>
      <c r="C10" s="28" t="n">
        <v>0.04</v>
      </c>
      <c r="D10" s="28" t="n">
        <v>0.04</v>
      </c>
      <c r="E10" s="28" t="n">
        <v>0.03</v>
      </c>
      <c r="F10" s="28" t="n">
        <v>0.03</v>
      </c>
      <c r="G10" s="28" t="n">
        <v>0.02</v>
      </c>
      <c r="H10" s="28" t="n">
        <v>0.02</v>
      </c>
      <c r="I10" s="29" t="s">
        <v>100</v>
      </c>
    </row>
    <row r="11" customFormat="false" ht="15" hidden="false" customHeight="false" outlineLevel="0" collapsed="false">
      <c r="A11" s="22" t="n">
        <v>7</v>
      </c>
      <c r="B11" s="27" t="s">
        <v>105</v>
      </c>
      <c r="C11" s="28" t="n">
        <v>0.02</v>
      </c>
      <c r="D11" s="28" t="n">
        <v>0.03</v>
      </c>
      <c r="E11" s="28" t="n">
        <v>0.05</v>
      </c>
      <c r="F11" s="28" t="n">
        <v>0.08</v>
      </c>
      <c r="G11" s="28" t="n">
        <v>0.12</v>
      </c>
      <c r="H11" s="28" t="n">
        <v>0.15</v>
      </c>
      <c r="I11" s="29" t="s">
        <v>100</v>
      </c>
    </row>
    <row r="12" customFormat="false" ht="15" hidden="false" customHeight="false" outlineLevel="0" collapsed="false">
      <c r="A12" s="22" t="n">
        <v>8</v>
      </c>
      <c r="B12" s="27" t="s">
        <v>106</v>
      </c>
      <c r="C12" s="28" t="n">
        <v>0.02</v>
      </c>
      <c r="D12" s="28" t="n">
        <v>0.05</v>
      </c>
      <c r="E12" s="28" t="n">
        <v>0.1</v>
      </c>
      <c r="F12" s="28" t="n">
        <v>0.2</v>
      </c>
      <c r="G12" s="28" t="n">
        <v>0.3</v>
      </c>
      <c r="H12" s="28" t="n">
        <v>0.4</v>
      </c>
      <c r="I12" s="29" t="s">
        <v>100</v>
      </c>
    </row>
    <row r="13" customFormat="false" ht="15" hidden="false" customHeight="false" outlineLevel="0" collapsed="false">
      <c r="A13" s="22" t="n">
        <v>9</v>
      </c>
      <c r="B13" s="27" t="s">
        <v>36</v>
      </c>
      <c r="C13" s="28" t="n">
        <v>0.05</v>
      </c>
      <c r="D13" s="28" t="n">
        <v>0.08</v>
      </c>
      <c r="E13" s="28" t="n">
        <v>0.2</v>
      </c>
      <c r="F13" s="28" t="n">
        <v>0.45</v>
      </c>
      <c r="G13" s="28" t="n">
        <v>0.5</v>
      </c>
      <c r="H13" s="28" t="n">
        <v>0.5</v>
      </c>
      <c r="I13" s="29" t="s">
        <v>100</v>
      </c>
    </row>
    <row r="14" customFormat="false" ht="15" hidden="false" customHeight="false" outlineLevel="0" collapsed="false">
      <c r="A14" s="22" t="n">
        <v>10</v>
      </c>
      <c r="B14" s="27" t="s">
        <v>107</v>
      </c>
      <c r="C14" s="28" t="n">
        <v>0.26</v>
      </c>
      <c r="D14" s="28" t="n">
        <v>0.28</v>
      </c>
      <c r="E14" s="28" t="n">
        <v>0.3</v>
      </c>
      <c r="F14" s="28" t="n">
        <v>0.43</v>
      </c>
      <c r="G14" s="28" t="n">
        <v>0.35</v>
      </c>
      <c r="H14" s="28" t="n">
        <v>0.26</v>
      </c>
      <c r="I14" s="29" t="s">
        <v>100</v>
      </c>
    </row>
    <row r="15" customFormat="false" ht="15" hidden="false" customHeight="false" outlineLevel="0" collapsed="false">
      <c r="A15" s="22" t="n">
        <v>11</v>
      </c>
      <c r="B15" s="27" t="s">
        <v>108</v>
      </c>
      <c r="C15" s="28" t="n">
        <v>0.28</v>
      </c>
      <c r="D15" s="28" t="n">
        <v>0.42</v>
      </c>
      <c r="E15" s="28" t="n">
        <v>0.32</v>
      </c>
      <c r="F15" s="28" t="n">
        <v>0.37</v>
      </c>
      <c r="G15" s="28" t="n">
        <v>0.5</v>
      </c>
      <c r="H15" s="28" t="n">
        <v>0.35</v>
      </c>
      <c r="I15" s="29" t="s">
        <v>100</v>
      </c>
    </row>
    <row r="16" customFormat="false" ht="15" hidden="false" customHeight="false" outlineLevel="0" collapsed="false">
      <c r="A16" s="22" t="n">
        <v>12</v>
      </c>
      <c r="B16" s="27" t="s">
        <v>109</v>
      </c>
      <c r="C16" s="28" t="n">
        <v>0.15</v>
      </c>
      <c r="D16" s="28" t="n">
        <v>0.24</v>
      </c>
      <c r="E16" s="28" t="n">
        <v>0.28</v>
      </c>
      <c r="F16" s="28" t="n">
        <v>0.42</v>
      </c>
      <c r="G16" s="28" t="n">
        <v>0.47</v>
      </c>
      <c r="H16" s="28" t="n">
        <v>0.35</v>
      </c>
      <c r="I16" s="29" t="s">
        <v>100</v>
      </c>
    </row>
    <row r="17" customFormat="false" ht="15" hidden="false" customHeight="false" outlineLevel="0" collapsed="false">
      <c r="A17" s="22" t="n">
        <v>13</v>
      </c>
      <c r="B17" s="27" t="s">
        <v>110</v>
      </c>
      <c r="C17" s="28" t="n">
        <v>0.15</v>
      </c>
      <c r="D17" s="28" t="n">
        <v>0.12</v>
      </c>
      <c r="E17" s="28" t="n">
        <v>0.1</v>
      </c>
      <c r="F17" s="28" t="n">
        <v>0.08</v>
      </c>
      <c r="G17" s="28" t="n">
        <v>0.08</v>
      </c>
      <c r="H17" s="28" t="n">
        <v>0.08</v>
      </c>
      <c r="I17" s="29" t="s">
        <v>100</v>
      </c>
    </row>
    <row r="18" customFormat="false" ht="15" hidden="false" customHeight="false" outlineLevel="0" collapsed="false">
      <c r="A18" s="22" t="n">
        <v>14</v>
      </c>
      <c r="B18" s="27" t="s">
        <v>111</v>
      </c>
      <c r="C18" s="28" t="n">
        <v>0.04</v>
      </c>
      <c r="D18" s="28" t="n">
        <v>0.04</v>
      </c>
      <c r="E18" s="28" t="n">
        <v>0.07</v>
      </c>
      <c r="F18" s="28" t="n">
        <v>0.06</v>
      </c>
      <c r="G18" s="28" t="n">
        <v>0.06</v>
      </c>
      <c r="H18" s="28" t="n">
        <v>0.07</v>
      </c>
      <c r="I18" s="29" t="s">
        <v>100</v>
      </c>
    </row>
    <row r="19" customFormat="false" ht="15" hidden="false" customHeight="false" outlineLevel="0" collapsed="false">
      <c r="A19" s="22" t="n">
        <v>15</v>
      </c>
      <c r="B19" s="27" t="s">
        <v>112</v>
      </c>
      <c r="C19" s="28" t="n">
        <v>0.15</v>
      </c>
      <c r="D19" s="28" t="n">
        <v>0.15</v>
      </c>
      <c r="E19" s="28" t="n">
        <v>0.1</v>
      </c>
      <c r="F19" s="28" t="n">
        <v>0.08</v>
      </c>
      <c r="G19" s="28" t="n">
        <v>0.07</v>
      </c>
      <c r="H19" s="28" t="n">
        <v>0.06</v>
      </c>
      <c r="I19" s="29" t="s">
        <v>100</v>
      </c>
    </row>
    <row r="20" customFormat="false" ht="15" hidden="false" customHeight="false" outlineLevel="0" collapsed="false">
      <c r="A20" s="22" t="n">
        <v>16</v>
      </c>
      <c r="B20" s="27" t="s">
        <v>113</v>
      </c>
      <c r="C20" s="28" t="n">
        <v>0.18</v>
      </c>
      <c r="D20" s="28" t="n">
        <v>0.33</v>
      </c>
      <c r="E20" s="28" t="n">
        <v>0.16</v>
      </c>
      <c r="F20" s="28" t="n">
        <v>0.07</v>
      </c>
      <c r="G20" s="28" t="n">
        <v>0.07</v>
      </c>
      <c r="H20" s="28" t="n">
        <v>0.08</v>
      </c>
      <c r="I20" s="29" t="s">
        <v>100</v>
      </c>
    </row>
    <row r="21" customFormat="false" ht="15" hidden="false" customHeight="false" outlineLevel="0" collapsed="false">
      <c r="A21" s="22" t="n">
        <v>17</v>
      </c>
      <c r="B21" s="27" t="s">
        <v>114</v>
      </c>
      <c r="C21" s="28" t="n">
        <v>0.22</v>
      </c>
      <c r="D21" s="28" t="n">
        <v>0.13</v>
      </c>
      <c r="E21" s="28" t="n">
        <v>0.1</v>
      </c>
      <c r="F21" s="28" t="n">
        <v>0.07</v>
      </c>
      <c r="G21" s="28" t="n">
        <v>0.07</v>
      </c>
      <c r="H21" s="28" t="n">
        <v>0.08</v>
      </c>
      <c r="I21" s="29" t="s">
        <v>100</v>
      </c>
    </row>
    <row r="22" customFormat="false" ht="15" hidden="false" customHeight="false" outlineLevel="0" collapsed="false">
      <c r="A22" s="22" t="n">
        <v>18</v>
      </c>
      <c r="B22" s="27" t="s">
        <v>115</v>
      </c>
      <c r="C22" s="28" t="n">
        <v>0.11</v>
      </c>
      <c r="D22" s="28" t="n">
        <v>0.23</v>
      </c>
      <c r="E22" s="28" t="n">
        <v>0.09</v>
      </c>
      <c r="F22" s="28" t="n">
        <v>0.07</v>
      </c>
      <c r="G22" s="28" t="n">
        <v>0.07</v>
      </c>
      <c r="H22" s="28" t="n">
        <v>0.08</v>
      </c>
      <c r="I22" s="29" t="s">
        <v>100</v>
      </c>
    </row>
    <row r="23" customFormat="false" ht="15" hidden="false" customHeight="false" outlineLevel="0" collapsed="false">
      <c r="A23" s="22" t="n">
        <v>19</v>
      </c>
      <c r="B23" s="27" t="s">
        <v>40</v>
      </c>
      <c r="C23" s="28" t="n">
        <v>0.2</v>
      </c>
      <c r="D23" s="28" t="n">
        <v>0.12</v>
      </c>
      <c r="E23" s="28" t="n">
        <v>0.08</v>
      </c>
      <c r="F23" s="28" t="n">
        <v>0.07</v>
      </c>
      <c r="G23" s="28" t="n">
        <v>0.07</v>
      </c>
      <c r="H23" s="28" t="n">
        <v>0.08</v>
      </c>
      <c r="I23" s="29" t="s">
        <v>100</v>
      </c>
    </row>
    <row r="24" customFormat="false" ht="15" hidden="false" customHeight="false" outlineLevel="0" collapsed="false">
      <c r="A24" s="22" t="n">
        <v>20</v>
      </c>
      <c r="B24" s="27" t="s">
        <v>116</v>
      </c>
      <c r="C24" s="28" t="n">
        <v>0.41</v>
      </c>
      <c r="D24" s="28" t="n">
        <v>0.31</v>
      </c>
      <c r="E24" s="28" t="n">
        <v>0.12</v>
      </c>
      <c r="F24" s="28" t="n">
        <v>0.05</v>
      </c>
      <c r="G24" s="28" t="n">
        <v>0.05</v>
      </c>
      <c r="H24" s="28" t="n">
        <v>0.12</v>
      </c>
      <c r="I24" s="29" t="s">
        <v>100</v>
      </c>
    </row>
    <row r="25" customFormat="false" ht="15" hidden="false" customHeight="false" outlineLevel="0" collapsed="false">
      <c r="A25" s="22" t="n">
        <v>21</v>
      </c>
      <c r="B25" s="27" t="s">
        <v>117</v>
      </c>
      <c r="C25" s="28" t="n">
        <v>0.48</v>
      </c>
      <c r="D25" s="28" t="n">
        <v>0.18</v>
      </c>
      <c r="E25" s="28" t="n">
        <v>0.1</v>
      </c>
      <c r="F25" s="28" t="n">
        <v>0.08</v>
      </c>
      <c r="G25" s="28" t="n">
        <v>0.08</v>
      </c>
      <c r="H25" s="28" t="n">
        <v>0.1</v>
      </c>
      <c r="I25" s="29" t="s">
        <v>100</v>
      </c>
    </row>
    <row r="26" customFormat="false" ht="15" hidden="false" customHeight="false" outlineLevel="0" collapsed="false">
      <c r="A26" s="22" t="n">
        <v>22</v>
      </c>
      <c r="B26" s="27" t="s">
        <v>118</v>
      </c>
      <c r="C26" s="28" t="n">
        <v>0.1</v>
      </c>
      <c r="D26" s="28" t="n">
        <v>0.29</v>
      </c>
      <c r="E26" s="28" t="n">
        <v>0.62</v>
      </c>
      <c r="F26" s="28" t="n">
        <v>0.79</v>
      </c>
      <c r="G26" s="28" t="n">
        <v>0.78</v>
      </c>
      <c r="H26" s="28" t="n">
        <v>0.85</v>
      </c>
      <c r="I26" s="29" t="s">
        <v>100</v>
      </c>
    </row>
    <row r="27" customFormat="false" ht="15" hidden="false" customHeight="false" outlineLevel="0" collapsed="false">
      <c r="A27" s="22" t="n">
        <v>23</v>
      </c>
      <c r="B27" s="27" t="s">
        <v>119</v>
      </c>
      <c r="C27" s="28" t="n">
        <v>0.6</v>
      </c>
      <c r="D27" s="28" t="n">
        <v>0.75</v>
      </c>
      <c r="E27" s="28" t="n">
        <v>0.7</v>
      </c>
      <c r="F27" s="28" t="n">
        <v>0.75</v>
      </c>
      <c r="G27" s="28" t="n">
        <v>0.8</v>
      </c>
      <c r="H27" s="28" t="n">
        <v>0.85</v>
      </c>
      <c r="I27" s="29" t="s">
        <v>100</v>
      </c>
    </row>
    <row r="28" customFormat="false" ht="15" hidden="false" customHeight="false" outlineLevel="0" collapsed="false">
      <c r="A28" s="22" t="n">
        <v>24</v>
      </c>
      <c r="B28" s="27" t="s">
        <v>120</v>
      </c>
      <c r="C28" s="28" t="n">
        <v>0.7</v>
      </c>
      <c r="D28" s="28" t="n">
        <v>0.8</v>
      </c>
      <c r="E28" s="28" t="n">
        <v>0.8</v>
      </c>
      <c r="F28" s="28" t="n">
        <v>0.8</v>
      </c>
      <c r="G28" s="28" t="n">
        <v>0.8</v>
      </c>
      <c r="H28" s="28" t="n">
        <v>0.85</v>
      </c>
      <c r="I28" s="29" t="s">
        <v>100</v>
      </c>
    </row>
    <row r="29" customFormat="false" ht="15" hidden="false" customHeight="false" outlineLevel="0" collapsed="false">
      <c r="A29" s="22" t="n">
        <v>25</v>
      </c>
      <c r="B29" s="27" t="s">
        <v>121</v>
      </c>
      <c r="C29" s="28" t="n">
        <v>0.75</v>
      </c>
      <c r="D29" s="28" t="n">
        <v>0.85</v>
      </c>
      <c r="E29" s="28" t="n">
        <v>0.9</v>
      </c>
      <c r="F29" s="28" t="n">
        <v>0.9</v>
      </c>
      <c r="G29" s="28" t="n">
        <v>0.85</v>
      </c>
      <c r="H29" s="28" t="n">
        <v>0.9</v>
      </c>
      <c r="I29" s="29" t="s">
        <v>100</v>
      </c>
    </row>
    <row r="30" customFormat="false" ht="15" hidden="false" customHeight="false" outlineLevel="0" collapsed="false">
      <c r="A30" s="22" t="n">
        <v>26</v>
      </c>
      <c r="B30" s="27" t="s">
        <v>122</v>
      </c>
      <c r="C30" s="28" t="n">
        <v>0.11</v>
      </c>
      <c r="D30" s="28" t="n">
        <v>0.28</v>
      </c>
      <c r="E30" s="28" t="n">
        <v>0.67</v>
      </c>
      <c r="F30" s="28" t="n">
        <v>0.83</v>
      </c>
      <c r="G30" s="28" t="n">
        <v>0.79</v>
      </c>
      <c r="H30" s="28" t="n">
        <v>0.86</v>
      </c>
      <c r="I30" s="29" t="s">
        <v>100</v>
      </c>
    </row>
    <row r="31" customFormat="false" ht="15" hidden="false" customHeight="false" outlineLevel="0" collapsed="false">
      <c r="A31" s="22" t="n">
        <v>27</v>
      </c>
      <c r="B31" s="27" t="s">
        <v>123</v>
      </c>
      <c r="C31" s="28" t="n">
        <v>0.7</v>
      </c>
      <c r="D31" s="28" t="n">
        <v>0.8</v>
      </c>
      <c r="E31" s="28" t="n">
        <v>0.8</v>
      </c>
      <c r="F31" s="28" t="n">
        <v>0.8</v>
      </c>
      <c r="G31" s="28" t="n">
        <v>0.8</v>
      </c>
      <c r="H31" s="28" t="n">
        <v>0.85</v>
      </c>
      <c r="I31" s="29" t="s">
        <v>100</v>
      </c>
    </row>
    <row r="32" customFormat="false" ht="15" hidden="false" customHeight="false" outlineLevel="0" collapsed="false">
      <c r="A32" s="22" t="n">
        <v>28</v>
      </c>
      <c r="B32" s="27" t="s">
        <v>124</v>
      </c>
      <c r="C32" s="28" t="n">
        <v>0.75</v>
      </c>
      <c r="D32" s="28" t="n">
        <v>0.85</v>
      </c>
      <c r="E32" s="28" t="n">
        <v>0.95</v>
      </c>
      <c r="F32" s="28" t="n">
        <v>0.9</v>
      </c>
      <c r="G32" s="28" t="n">
        <v>0.85</v>
      </c>
      <c r="H32" s="28" t="n">
        <v>0.9</v>
      </c>
      <c r="I32" s="29" t="s">
        <v>100</v>
      </c>
    </row>
    <row r="33" customFormat="false" ht="15" hidden="false" customHeight="false" outlineLevel="0" collapsed="false">
      <c r="A33" s="22" t="n">
        <v>29</v>
      </c>
      <c r="B33" s="27" t="s">
        <v>125</v>
      </c>
      <c r="C33" s="28" t="n">
        <v>0.4</v>
      </c>
      <c r="D33" s="28" t="n">
        <v>0.75</v>
      </c>
      <c r="E33" s="28" t="n">
        <v>0.9</v>
      </c>
      <c r="F33" s="28" t="n">
        <v>0.9</v>
      </c>
      <c r="G33" s="28" t="n">
        <v>0.85</v>
      </c>
      <c r="H33" s="28" t="n">
        <v>0.9</v>
      </c>
      <c r="I33" s="29" t="s">
        <v>100</v>
      </c>
    </row>
    <row r="34" customFormat="false" ht="15" hidden="false" customHeight="false" outlineLevel="0" collapsed="false">
      <c r="A34" s="22" t="n">
        <v>30</v>
      </c>
      <c r="B34" s="27" t="s">
        <v>126</v>
      </c>
      <c r="C34" s="28" t="n">
        <v>0.5</v>
      </c>
      <c r="D34" s="28" t="n">
        <v>0.8</v>
      </c>
      <c r="E34" s="28" t="n">
        <v>0.9</v>
      </c>
      <c r="F34" s="28" t="n">
        <v>0.9</v>
      </c>
      <c r="G34" s="28" t="n">
        <v>0.85</v>
      </c>
      <c r="H34" s="28" t="n">
        <v>0.9</v>
      </c>
      <c r="I34" s="29" t="s">
        <v>100</v>
      </c>
    </row>
    <row r="35" customFormat="false" ht="15" hidden="false" customHeight="false" outlineLevel="0" collapsed="false">
      <c r="A35" s="22" t="n">
        <v>31</v>
      </c>
      <c r="B35" s="27" t="s">
        <v>127</v>
      </c>
      <c r="C35" s="28" t="n">
        <v>0.06</v>
      </c>
      <c r="D35" s="28" t="n">
        <v>0.28</v>
      </c>
      <c r="E35" s="28" t="n">
        <v>0.69</v>
      </c>
      <c r="F35" s="28" t="n">
        <v>0.84</v>
      </c>
      <c r="G35" s="28" t="n">
        <v>0.79</v>
      </c>
      <c r="H35" s="28" t="n">
        <v>0.82</v>
      </c>
      <c r="I35" s="29" t="s">
        <v>100</v>
      </c>
    </row>
    <row r="36" customFormat="false" ht="15" hidden="false" customHeight="false" outlineLevel="0" collapsed="false">
      <c r="A36" s="22" t="n">
        <v>32</v>
      </c>
      <c r="B36" s="27" t="s">
        <v>128</v>
      </c>
      <c r="C36" s="28" t="n">
        <v>0.3</v>
      </c>
      <c r="D36" s="28" t="n">
        <v>0.74</v>
      </c>
      <c r="E36" s="28" t="n">
        <v>0.93</v>
      </c>
      <c r="F36" s="28" t="n">
        <v>0.85</v>
      </c>
      <c r="G36" s="28" t="n">
        <v>0.79</v>
      </c>
      <c r="H36" s="28" t="n">
        <v>0.87</v>
      </c>
      <c r="I36" s="29" t="s">
        <v>100</v>
      </c>
    </row>
    <row r="37" customFormat="false" ht="15" hidden="false" customHeight="false" outlineLevel="0" collapsed="false">
      <c r="A37" s="22" t="n">
        <v>33</v>
      </c>
      <c r="B37" s="27" t="s">
        <v>129</v>
      </c>
      <c r="C37" s="28" t="n">
        <v>0.47</v>
      </c>
      <c r="D37" s="28" t="n">
        <v>0.83</v>
      </c>
      <c r="E37" s="28" t="n">
        <v>0.84</v>
      </c>
      <c r="F37" s="28" t="n">
        <v>0.85</v>
      </c>
      <c r="G37" s="28" t="n">
        <v>0.85</v>
      </c>
      <c r="H37" s="28" t="n">
        <v>0.8</v>
      </c>
      <c r="I37" s="29" t="s">
        <v>100</v>
      </c>
    </row>
    <row r="38" customFormat="false" ht="15" hidden="false" customHeight="false" outlineLevel="0" collapsed="false">
      <c r="A38" s="22" t="n">
        <v>34</v>
      </c>
      <c r="B38" s="27" t="s">
        <v>130</v>
      </c>
      <c r="C38" s="28" t="n">
        <v>0.33</v>
      </c>
      <c r="D38" s="28" t="n">
        <v>0.76</v>
      </c>
      <c r="E38" s="28" t="n">
        <v>0.89</v>
      </c>
      <c r="F38" s="28" t="n">
        <v>0.86</v>
      </c>
      <c r="G38" s="28" t="n">
        <v>0.83</v>
      </c>
      <c r="H38" s="28" t="n">
        <v>0.89</v>
      </c>
      <c r="I38" s="29" t="s">
        <v>100</v>
      </c>
    </row>
    <row r="39" customFormat="false" ht="15" hidden="false" customHeight="false" outlineLevel="0" collapsed="false">
      <c r="A39" s="22" t="n">
        <v>35</v>
      </c>
      <c r="B39" s="27" t="s">
        <v>131</v>
      </c>
      <c r="C39" s="28" t="n">
        <v>0.7</v>
      </c>
      <c r="D39" s="28" t="n">
        <v>0.89</v>
      </c>
      <c r="E39" s="28" t="n">
        <v>0.93</v>
      </c>
      <c r="F39" s="28" t="n">
        <v>0.87</v>
      </c>
      <c r="G39" s="28" t="n">
        <v>0.83</v>
      </c>
      <c r="H39" s="28" t="n">
        <v>0.92</v>
      </c>
      <c r="I39" s="29" t="s">
        <v>100</v>
      </c>
    </row>
    <row r="40" customFormat="false" ht="15" hidden="false" customHeight="false" outlineLevel="0" collapsed="false">
      <c r="A40" s="22" t="n">
        <v>36</v>
      </c>
      <c r="B40" s="27" t="s">
        <v>132</v>
      </c>
      <c r="C40" s="28" t="n">
        <v>0.02</v>
      </c>
      <c r="D40" s="28" t="n">
        <v>0.09</v>
      </c>
      <c r="E40" s="28" t="n">
        <v>0.25</v>
      </c>
      <c r="F40" s="28" t="n">
        <v>0.31</v>
      </c>
      <c r="G40" s="28" t="n">
        <v>0.15</v>
      </c>
      <c r="H40" s="28" t="n">
        <v>0.1</v>
      </c>
      <c r="I40" s="29" t="s">
        <v>100</v>
      </c>
    </row>
    <row r="41" customFormat="false" ht="15" hidden="false" customHeight="false" outlineLevel="0" collapsed="false">
      <c r="A41" s="22" t="n">
        <v>37</v>
      </c>
      <c r="B41" s="27" t="s">
        <v>133</v>
      </c>
      <c r="C41" s="28" t="n">
        <v>0.07</v>
      </c>
      <c r="D41" s="28" t="n">
        <v>0.12</v>
      </c>
      <c r="E41" s="28" t="n">
        <v>0.39</v>
      </c>
      <c r="F41" s="28" t="n">
        <v>0.28</v>
      </c>
      <c r="G41" s="28" t="n">
        <v>0.21</v>
      </c>
      <c r="H41" s="28" t="n">
        <v>0.12</v>
      </c>
      <c r="I41" s="29" t="s">
        <v>100</v>
      </c>
    </row>
    <row r="42" customFormat="false" ht="15" hidden="false" customHeight="false" outlineLevel="0" collapsed="false">
      <c r="A42" s="22" t="n">
        <v>38</v>
      </c>
      <c r="B42" s="27" t="s">
        <v>134</v>
      </c>
      <c r="C42" s="28" t="n">
        <v>0.12</v>
      </c>
      <c r="D42" s="28" t="n">
        <v>0.45</v>
      </c>
      <c r="E42" s="28" t="n">
        <v>0.3</v>
      </c>
      <c r="F42" s="28" t="n">
        <v>0.25</v>
      </c>
      <c r="G42" s="28" t="n">
        <v>0.23</v>
      </c>
      <c r="H42" s="28" t="n">
        <v>0.16</v>
      </c>
      <c r="I42" s="29" t="s">
        <v>100</v>
      </c>
    </row>
    <row r="43" customFormat="false" ht="15" hidden="false" customHeight="false" outlineLevel="0" collapsed="false">
      <c r="A43" s="22" t="n">
        <v>39</v>
      </c>
      <c r="B43" s="27" t="s">
        <v>135</v>
      </c>
      <c r="C43" s="28" t="n">
        <v>0.45</v>
      </c>
      <c r="D43" s="28" t="n">
        <v>0.31</v>
      </c>
      <c r="E43" s="28" t="n">
        <v>0.31</v>
      </c>
      <c r="F43" s="28" t="n">
        <v>0.3</v>
      </c>
      <c r="G43" s="28" t="n">
        <v>0.3</v>
      </c>
      <c r="H43" s="28" t="n">
        <v>0.28</v>
      </c>
      <c r="I43" s="29" t="s">
        <v>100</v>
      </c>
    </row>
    <row r="44" customFormat="false" ht="15" hidden="false" customHeight="false" outlineLevel="0" collapsed="false">
      <c r="A44" s="22" t="n">
        <v>40</v>
      </c>
      <c r="B44" s="27" t="s">
        <v>136</v>
      </c>
      <c r="C44" s="28" t="n">
        <v>0.02</v>
      </c>
      <c r="D44" s="28" t="n">
        <v>0.08</v>
      </c>
      <c r="E44" s="28" t="n">
        <v>0.16</v>
      </c>
      <c r="F44" s="28" t="n">
        <v>0.31</v>
      </c>
      <c r="G44" s="28" t="n">
        <v>0.2</v>
      </c>
      <c r="H44" s="28" t="n">
        <v>0.18</v>
      </c>
      <c r="I44" s="29" t="s">
        <v>100</v>
      </c>
    </row>
    <row r="45" customFormat="false" ht="15" hidden="false" customHeight="false" outlineLevel="0" collapsed="false">
      <c r="A45" s="22" t="n">
        <v>41</v>
      </c>
      <c r="B45" s="27" t="s">
        <v>137</v>
      </c>
      <c r="C45" s="28" t="n">
        <v>0.06</v>
      </c>
      <c r="D45" s="28" t="n">
        <v>0.1</v>
      </c>
      <c r="E45" s="28" t="n">
        <v>0.33</v>
      </c>
      <c r="F45" s="28" t="n">
        <v>0.29</v>
      </c>
      <c r="G45" s="28" t="n">
        <v>0.21</v>
      </c>
      <c r="H45" s="28" t="n">
        <v>0.12</v>
      </c>
      <c r="I45" s="29" t="s">
        <v>100</v>
      </c>
    </row>
    <row r="46" customFormat="false" ht="15" hidden="false" customHeight="false" outlineLevel="0" collapsed="false">
      <c r="A46" s="22" t="n">
        <v>42</v>
      </c>
      <c r="B46" s="27" t="s">
        <v>138</v>
      </c>
      <c r="C46" s="28" t="n">
        <v>0.11</v>
      </c>
      <c r="D46" s="28" t="n">
        <v>0.33</v>
      </c>
      <c r="E46" s="28" t="n">
        <v>0.3</v>
      </c>
      <c r="F46" s="28" t="n">
        <v>0.26</v>
      </c>
      <c r="G46" s="28" t="n">
        <v>0.3</v>
      </c>
      <c r="H46" s="28" t="n">
        <v>0.13</v>
      </c>
      <c r="I46" s="29" t="s">
        <v>100</v>
      </c>
    </row>
    <row r="47" customFormat="false" ht="15" hidden="false" customHeight="false" outlineLevel="0" collapsed="false">
      <c r="A47" s="22" t="n">
        <v>43</v>
      </c>
      <c r="B47" s="27" t="s">
        <v>139</v>
      </c>
      <c r="C47" s="28" t="n">
        <v>0.35</v>
      </c>
      <c r="D47" s="28" t="n">
        <v>0.29</v>
      </c>
      <c r="E47" s="28" t="n">
        <v>0.3</v>
      </c>
      <c r="F47" s="28" t="n">
        <v>0.35</v>
      </c>
      <c r="G47" s="28" t="n">
        <v>0.36</v>
      </c>
      <c r="H47" s="28" t="n">
        <v>0.39</v>
      </c>
      <c r="I47" s="29" t="s">
        <v>100</v>
      </c>
    </row>
    <row r="48" customFormat="false" ht="15" hidden="false" customHeight="false" outlineLevel="0" collapsed="false">
      <c r="A48" s="22" t="n">
        <v>44</v>
      </c>
      <c r="B48" s="27" t="s">
        <v>140</v>
      </c>
      <c r="C48" s="28" t="n">
        <v>0.15</v>
      </c>
      <c r="D48" s="28" t="n">
        <v>0.35</v>
      </c>
      <c r="E48" s="28" t="n">
        <v>0.8</v>
      </c>
      <c r="F48" s="28" t="n">
        <v>0.5</v>
      </c>
      <c r="G48" s="28" t="n">
        <v>0.25</v>
      </c>
      <c r="H48" s="28" t="n">
        <v>0.2</v>
      </c>
      <c r="I48" s="29" t="s">
        <v>100</v>
      </c>
    </row>
    <row r="49" customFormat="false" ht="15" hidden="false" customHeight="false" outlineLevel="0" collapsed="false">
      <c r="A49" s="22" t="n">
        <v>45</v>
      </c>
      <c r="B49" s="27" t="s">
        <v>141</v>
      </c>
      <c r="C49" s="28" t="n">
        <v>0.2</v>
      </c>
      <c r="D49" s="28" t="n">
        <v>0.5</v>
      </c>
      <c r="E49" s="28" t="n">
        <v>0.8</v>
      </c>
      <c r="F49" s="28" t="n">
        <v>0.5</v>
      </c>
      <c r="G49" s="28" t="n">
        <v>0.3</v>
      </c>
      <c r="H49" s="28" t="n">
        <v>0.15</v>
      </c>
      <c r="I49" s="29" t="s">
        <v>100</v>
      </c>
    </row>
    <row r="50" customFormat="false" ht="15" hidden="false" customHeight="false" outlineLevel="0" collapsed="false">
      <c r="A50" s="22" t="n">
        <v>46</v>
      </c>
      <c r="B50" s="27" t="s">
        <v>142</v>
      </c>
      <c r="C50" s="28" t="n">
        <v>0.4</v>
      </c>
      <c r="D50" s="28" t="n">
        <v>0.9</v>
      </c>
      <c r="E50" s="28" t="n">
        <v>0.7</v>
      </c>
      <c r="F50" s="28" t="n">
        <v>0.5</v>
      </c>
      <c r="G50" s="28" t="n">
        <v>0.35</v>
      </c>
      <c r="H50" s="28" t="n">
        <v>0.1</v>
      </c>
      <c r="I50" s="29" t="s">
        <v>100</v>
      </c>
    </row>
    <row r="51" customFormat="false" ht="15" hidden="false" customHeight="false" outlineLevel="0" collapsed="false">
      <c r="A51" s="22" t="n">
        <v>47</v>
      </c>
      <c r="B51" s="27" t="s">
        <v>143</v>
      </c>
      <c r="C51" s="28" t="n">
        <v>0.13</v>
      </c>
      <c r="D51" s="28" t="n">
        <v>0.32</v>
      </c>
      <c r="E51" s="28" t="n">
        <v>0.78</v>
      </c>
      <c r="F51" s="28" t="n">
        <v>0.69</v>
      </c>
      <c r="G51" s="28" t="n">
        <v>0.4</v>
      </c>
      <c r="H51" s="28" t="n">
        <v>0.31</v>
      </c>
      <c r="I51" s="29" t="s">
        <v>100</v>
      </c>
    </row>
    <row r="52" customFormat="false" ht="15" hidden="false" customHeight="false" outlineLevel="0" collapsed="false">
      <c r="A52" s="22" t="n">
        <v>48</v>
      </c>
      <c r="B52" s="27" t="s">
        <v>49</v>
      </c>
      <c r="C52" s="28" t="n">
        <v>0.2</v>
      </c>
      <c r="D52" s="28" t="n">
        <v>0.45</v>
      </c>
      <c r="E52" s="28" t="n">
        <v>0.8</v>
      </c>
      <c r="F52" s="28" t="n">
        <v>0.6</v>
      </c>
      <c r="G52" s="28" t="n">
        <v>0.4</v>
      </c>
      <c r="H52" s="28" t="n">
        <v>0.3</v>
      </c>
      <c r="I52" s="29" t="s">
        <v>100</v>
      </c>
    </row>
    <row r="53" customFormat="false" ht="15" hidden="false" customHeight="false" outlineLevel="0" collapsed="false">
      <c r="A53" s="22" t="n">
        <v>49</v>
      </c>
      <c r="B53" s="27" t="s">
        <v>144</v>
      </c>
      <c r="C53" s="28" t="n">
        <v>0.3</v>
      </c>
      <c r="D53" s="28" t="n">
        <v>0.8</v>
      </c>
      <c r="E53" s="28" t="n">
        <v>0.6</v>
      </c>
      <c r="F53" s="28" t="n">
        <v>0.65</v>
      </c>
      <c r="G53" s="28" t="n">
        <v>0.5</v>
      </c>
      <c r="H53" s="28" t="n">
        <v>0.25</v>
      </c>
      <c r="I53" s="29" t="s">
        <v>100</v>
      </c>
    </row>
    <row r="54" customFormat="false" ht="15" hidden="false" customHeight="false" outlineLevel="0" collapsed="false">
      <c r="A54" s="22" t="n">
        <v>50</v>
      </c>
      <c r="B54" s="27" t="s">
        <v>145</v>
      </c>
      <c r="C54" s="28" t="n">
        <v>0.35</v>
      </c>
      <c r="D54" s="28" t="n">
        <v>0.8</v>
      </c>
      <c r="E54" s="28" t="n">
        <v>0.7</v>
      </c>
      <c r="F54" s="28" t="n">
        <v>0.6</v>
      </c>
      <c r="G54" s="28" t="n">
        <v>0.5</v>
      </c>
      <c r="H54" s="28" t="n">
        <v>0.4</v>
      </c>
      <c r="I54" s="29" t="s">
        <v>100</v>
      </c>
    </row>
    <row r="55" customFormat="false" ht="15" hidden="false" customHeight="false" outlineLevel="0" collapsed="false">
      <c r="A55" s="22" t="n">
        <v>51</v>
      </c>
      <c r="B55" s="27" t="s">
        <v>146</v>
      </c>
      <c r="C55" s="28" t="n">
        <v>0.55</v>
      </c>
      <c r="D55" s="28" t="n">
        <v>0.9</v>
      </c>
      <c r="E55" s="28" t="n">
        <v>0.8</v>
      </c>
      <c r="F55" s="28" t="n">
        <v>0.7</v>
      </c>
      <c r="G55" s="28" t="n">
        <v>0.6</v>
      </c>
      <c r="H55" s="28" t="n">
        <v>0.4</v>
      </c>
      <c r="I55" s="29" t="s">
        <v>100</v>
      </c>
    </row>
    <row r="56" customFormat="false" ht="15" hidden="false" customHeight="false" outlineLevel="0" collapsed="false">
      <c r="A56" s="22" t="n">
        <v>52</v>
      </c>
      <c r="B56" s="27" t="s">
        <v>147</v>
      </c>
      <c r="C56" s="28" t="n">
        <v>0.6</v>
      </c>
      <c r="D56" s="28" t="n">
        <v>0.9</v>
      </c>
      <c r="E56" s="28" t="n">
        <v>0.8</v>
      </c>
      <c r="F56" s="28" t="n">
        <v>0.7</v>
      </c>
      <c r="G56" s="28" t="n">
        <v>0.6</v>
      </c>
      <c r="H56" s="28" t="n">
        <v>0.4</v>
      </c>
      <c r="I56" s="29" t="s">
        <v>100</v>
      </c>
    </row>
    <row r="57" customFormat="false" ht="15" hidden="false" customHeight="false" outlineLevel="0" collapsed="false">
      <c r="A57" s="22" t="n">
        <v>53</v>
      </c>
      <c r="B57" s="27" t="s">
        <v>148</v>
      </c>
      <c r="C57" s="28" t="n">
        <v>0.2</v>
      </c>
      <c r="D57" s="28" t="n">
        <v>0.3</v>
      </c>
      <c r="E57" s="28" t="n">
        <v>0.6</v>
      </c>
      <c r="F57" s="28" t="n">
        <v>0.8</v>
      </c>
      <c r="G57" s="28" t="n">
        <v>0.2</v>
      </c>
      <c r="H57" s="28" t="n">
        <v>0.2</v>
      </c>
      <c r="I57" s="29" t="s">
        <v>100</v>
      </c>
    </row>
    <row r="58" customFormat="false" ht="15" hidden="false" customHeight="false" outlineLevel="0" collapsed="false">
      <c r="A58" s="22" t="n">
        <v>54</v>
      </c>
      <c r="B58" s="27" t="s">
        <v>149</v>
      </c>
      <c r="C58" s="28" t="n">
        <v>0.4</v>
      </c>
      <c r="D58" s="28" t="n">
        <v>0.85</v>
      </c>
      <c r="E58" s="28" t="n">
        <v>0.65</v>
      </c>
      <c r="F58" s="28" t="n">
        <v>0.5</v>
      </c>
      <c r="G58" s="28" t="n">
        <v>0.3</v>
      </c>
      <c r="H58" s="28" t="n">
        <v>0.3</v>
      </c>
      <c r="I58" s="29" t="s">
        <v>100</v>
      </c>
    </row>
    <row r="59" customFormat="false" ht="15" hidden="false" customHeight="false" outlineLevel="0" collapsed="false">
      <c r="A59" s="22" t="n">
        <v>55</v>
      </c>
      <c r="B59" s="27" t="s">
        <v>150</v>
      </c>
      <c r="C59" s="28" t="n">
        <v>0.55</v>
      </c>
      <c r="D59" s="28" t="n">
        <v>0.9</v>
      </c>
      <c r="E59" s="28" t="n">
        <v>0.8</v>
      </c>
      <c r="F59" s="28" t="n">
        <v>0.65</v>
      </c>
      <c r="G59" s="28" t="n">
        <v>0.35</v>
      </c>
      <c r="H59" s="28" t="n">
        <v>0.3</v>
      </c>
      <c r="I59" s="29" t="s">
        <v>100</v>
      </c>
    </row>
    <row r="60" customFormat="false" ht="15" hidden="false" customHeight="false" outlineLevel="0" collapsed="false">
      <c r="A60" s="22" t="n">
        <v>56</v>
      </c>
      <c r="B60" s="27" t="s">
        <v>151</v>
      </c>
      <c r="C60" s="28" t="n">
        <v>0.35</v>
      </c>
      <c r="D60" s="28" t="n">
        <v>0.29</v>
      </c>
      <c r="E60" s="28" t="n">
        <v>0.3</v>
      </c>
      <c r="F60" s="28" t="n">
        <v>0.3</v>
      </c>
      <c r="G60" s="28" t="n">
        <v>0.3</v>
      </c>
      <c r="H60" s="28" t="n">
        <v>0.3</v>
      </c>
      <c r="I60" s="29" t="s">
        <v>100</v>
      </c>
    </row>
    <row r="61" customFormat="false" ht="15" hidden="false" customHeight="false" outlineLevel="0" collapsed="false">
      <c r="A61" s="22" t="n">
        <v>57</v>
      </c>
      <c r="B61" s="27" t="s">
        <v>152</v>
      </c>
      <c r="C61" s="28" t="n">
        <v>0.9</v>
      </c>
      <c r="D61" s="28" t="n">
        <v>0.8</v>
      </c>
      <c r="E61" s="28" t="n">
        <v>0.8</v>
      </c>
      <c r="F61" s="28" t="n">
        <v>0.8</v>
      </c>
      <c r="G61" s="28" t="n">
        <v>0.65</v>
      </c>
      <c r="H61" s="28" t="n">
        <v>0.4</v>
      </c>
      <c r="I61" s="29" t="s">
        <v>100</v>
      </c>
    </row>
    <row r="62" customFormat="false" ht="15" hidden="false" customHeight="false" outlineLevel="0" collapsed="false">
      <c r="A62" s="22" t="n">
        <v>58</v>
      </c>
      <c r="B62" s="27" t="s">
        <v>153</v>
      </c>
      <c r="C62" s="28" t="n">
        <v>0.45</v>
      </c>
      <c r="D62" s="28" t="n">
        <v>0.7</v>
      </c>
      <c r="E62" s="28" t="n">
        <v>0.8</v>
      </c>
      <c r="F62" s="28" t="n">
        <v>0.8</v>
      </c>
      <c r="G62" s="28" t="n">
        <v>0.7</v>
      </c>
      <c r="H62" s="28" t="n">
        <v>0.7</v>
      </c>
      <c r="I62" s="29" t="s">
        <v>100</v>
      </c>
    </row>
    <row r="63" customFormat="false" ht="15" hidden="false" customHeight="false" outlineLevel="0" collapsed="false">
      <c r="A63" s="22" t="n">
        <v>59</v>
      </c>
      <c r="B63" s="27" t="s">
        <v>154</v>
      </c>
      <c r="C63" s="28" t="n">
        <v>0.5</v>
      </c>
      <c r="D63" s="28" t="n">
        <v>0.75</v>
      </c>
      <c r="E63" s="28" t="n">
        <v>0.8</v>
      </c>
      <c r="F63" s="28" t="n">
        <v>0.8</v>
      </c>
      <c r="G63" s="28" t="n">
        <v>0.7</v>
      </c>
      <c r="H63" s="28" t="n">
        <v>0.7</v>
      </c>
      <c r="I63" s="29" t="s">
        <v>100</v>
      </c>
    </row>
    <row r="64" customFormat="false" ht="15" hidden="false" customHeight="false" outlineLevel="0" collapsed="false">
      <c r="A64" s="22" t="n">
        <v>60</v>
      </c>
      <c r="B64" s="27" t="s">
        <v>155</v>
      </c>
      <c r="C64" s="28" t="n">
        <v>0.6</v>
      </c>
      <c r="D64" s="28" t="n">
        <v>0.75</v>
      </c>
      <c r="E64" s="28" t="n">
        <v>0.8</v>
      </c>
      <c r="F64" s="28" t="n">
        <v>0.8</v>
      </c>
      <c r="G64" s="28" t="n">
        <v>0.7</v>
      </c>
      <c r="H64" s="28" t="n">
        <v>0.7</v>
      </c>
      <c r="I64" s="29" t="s">
        <v>100</v>
      </c>
    </row>
    <row r="65" customFormat="false" ht="15" hidden="false" customHeight="false" outlineLevel="0" collapsed="false">
      <c r="A65" s="22" t="n">
        <v>61</v>
      </c>
      <c r="B65" s="27" t="s">
        <v>43</v>
      </c>
      <c r="C65" s="28" t="n">
        <v>0.1</v>
      </c>
      <c r="D65" s="28" t="n">
        <v>0.15</v>
      </c>
      <c r="E65" s="28" t="n">
        <v>0.2</v>
      </c>
      <c r="F65" s="28" t="n">
        <v>0.22</v>
      </c>
      <c r="G65" s="28" t="n">
        <v>0.25</v>
      </c>
      <c r="H65" s="28" t="n">
        <v>0.3</v>
      </c>
      <c r="I65" s="29" t="s">
        <v>100</v>
      </c>
    </row>
    <row r="66" customFormat="false" ht="15" hidden="false" customHeight="false" outlineLevel="0" collapsed="false">
      <c r="A66" s="22" t="n">
        <v>62</v>
      </c>
      <c r="B66" s="27" t="s">
        <v>156</v>
      </c>
      <c r="C66" s="28" t="n">
        <v>0.25</v>
      </c>
      <c r="D66" s="28" t="n">
        <v>0.4</v>
      </c>
      <c r="E66" s="28" t="n">
        <v>0.5</v>
      </c>
      <c r="F66" s="28" t="n">
        <v>0.55</v>
      </c>
      <c r="G66" s="28" t="n">
        <v>0.6</v>
      </c>
      <c r="H66" s="28" t="n">
        <v>0.6</v>
      </c>
      <c r="I66" s="29" t="s">
        <v>100</v>
      </c>
    </row>
    <row r="67" customFormat="false" ht="15" hidden="false" customHeight="false" outlineLevel="0" collapsed="false">
      <c r="A67" s="22" t="n">
        <v>63</v>
      </c>
      <c r="B67" s="27" t="s">
        <v>157</v>
      </c>
      <c r="C67" s="28" t="n">
        <v>0.75</v>
      </c>
      <c r="D67" s="28" t="n">
        <v>0.8</v>
      </c>
      <c r="E67" s="28" t="n">
        <v>0.8</v>
      </c>
      <c r="F67" s="28" t="n">
        <v>0.8</v>
      </c>
      <c r="G67" s="28" t="n">
        <v>0.85</v>
      </c>
      <c r="H67" s="28" t="n">
        <v>0.85</v>
      </c>
      <c r="I67" s="29" t="s">
        <v>100</v>
      </c>
    </row>
    <row r="68" customFormat="false" ht="15" hidden="false" customHeight="false" outlineLevel="0" collapsed="false">
      <c r="A68" s="22" t="n">
        <v>64</v>
      </c>
      <c r="B68" s="27" t="s">
        <v>54</v>
      </c>
      <c r="C68" s="28" t="n">
        <v>0.3</v>
      </c>
      <c r="D68" s="28" t="n">
        <v>0.35</v>
      </c>
      <c r="E68" s="28" t="n">
        <v>0.4</v>
      </c>
      <c r="F68" s="28" t="n">
        <v>0.45</v>
      </c>
      <c r="G68" s="28" t="n">
        <v>0.5</v>
      </c>
      <c r="H68" s="28" t="n">
        <v>0.55</v>
      </c>
      <c r="I68" s="29" t="s">
        <v>100</v>
      </c>
    </row>
    <row r="69" customFormat="false" ht="15" hidden="false" customHeight="false" outlineLevel="0" collapsed="false">
      <c r="A69" s="22" t="n">
        <v>65</v>
      </c>
      <c r="B69" s="27" t="s">
        <v>158</v>
      </c>
      <c r="C69" s="28" t="n">
        <v>0.13</v>
      </c>
      <c r="D69" s="28" t="n">
        <v>0.12</v>
      </c>
      <c r="E69" s="28" t="n">
        <v>0.07</v>
      </c>
      <c r="F69" s="28" t="n">
        <v>0.04</v>
      </c>
      <c r="G69" s="28" t="n">
        <v>0.04</v>
      </c>
      <c r="H69" s="28" t="n">
        <v>0.04</v>
      </c>
      <c r="I69" s="29" t="s">
        <v>100</v>
      </c>
    </row>
    <row r="70" customFormat="false" ht="15" hidden="false" customHeight="false" outlineLevel="0" collapsed="false">
      <c r="A70" s="22" t="n">
        <v>66</v>
      </c>
      <c r="B70" s="27" t="s">
        <v>56</v>
      </c>
      <c r="C70" s="28" t="n">
        <v>0.1</v>
      </c>
      <c r="D70" s="28" t="n">
        <v>0.15</v>
      </c>
      <c r="E70" s="28" t="n">
        <v>0.2</v>
      </c>
      <c r="F70" s="28" t="n">
        <v>0.25</v>
      </c>
      <c r="G70" s="28" t="n">
        <v>0.3</v>
      </c>
      <c r="H70" s="28" t="n">
        <v>0.3</v>
      </c>
      <c r="I70" s="29" t="s">
        <v>100</v>
      </c>
    </row>
    <row r="71" customFormat="false" ht="15" hidden="false" customHeight="false" outlineLevel="0" collapsed="false">
      <c r="A71" s="22" t="n">
        <v>67</v>
      </c>
      <c r="B71" s="27" t="s">
        <v>159</v>
      </c>
      <c r="C71" s="28" t="n">
        <v>0.03</v>
      </c>
      <c r="D71" s="28" t="n">
        <v>0.02</v>
      </c>
      <c r="E71" s="28" t="n">
        <v>0.03</v>
      </c>
      <c r="F71" s="28" t="n">
        <v>0.04</v>
      </c>
      <c r="G71" s="28" t="n">
        <v>0.05</v>
      </c>
      <c r="H71" s="28" t="n">
        <v>0.08</v>
      </c>
      <c r="I71" s="29" t="s">
        <v>100</v>
      </c>
    </row>
    <row r="72" customFormat="false" ht="15" hidden="false" customHeight="false" outlineLevel="0" collapsed="false">
      <c r="A72" s="22" t="n">
        <v>68</v>
      </c>
      <c r="B72" s="27" t="s">
        <v>160</v>
      </c>
      <c r="C72" s="28" t="n">
        <v>0.04</v>
      </c>
      <c r="D72" s="28" t="n">
        <v>0.1</v>
      </c>
      <c r="E72" s="28" t="n">
        <v>0.2</v>
      </c>
      <c r="F72" s="28" t="n">
        <v>0.35</v>
      </c>
      <c r="G72" s="28" t="n">
        <v>0.45</v>
      </c>
      <c r="H72" s="28" t="n">
        <v>0.27</v>
      </c>
      <c r="I72" s="29" t="s">
        <v>100</v>
      </c>
    </row>
    <row r="73" customFormat="false" ht="15" hidden="false" customHeight="false" outlineLevel="0" collapsed="false">
      <c r="A73" s="22" t="n">
        <v>69</v>
      </c>
      <c r="B73" s="27" t="s">
        <v>161</v>
      </c>
      <c r="C73" s="28" t="n">
        <v>0.06</v>
      </c>
      <c r="D73" s="28" t="n">
        <v>0.27</v>
      </c>
      <c r="E73" s="28" t="n">
        <v>0.44</v>
      </c>
      <c r="F73" s="28" t="n">
        <v>0.5</v>
      </c>
      <c r="G73" s="28" t="n">
        <v>0.4</v>
      </c>
      <c r="H73" s="28" t="n">
        <v>0.35</v>
      </c>
      <c r="I73" s="29" t="s">
        <v>100</v>
      </c>
    </row>
    <row r="74" customFormat="false" ht="15" hidden="false" customHeight="false" outlineLevel="0" collapsed="false">
      <c r="A74" s="22" t="n">
        <v>70</v>
      </c>
      <c r="B74" s="27" t="s">
        <v>162</v>
      </c>
      <c r="C74" s="28" t="n">
        <v>0.15</v>
      </c>
      <c r="D74" s="28" t="n">
        <v>0.35</v>
      </c>
      <c r="E74" s="28" t="n">
        <v>0.55</v>
      </c>
      <c r="F74" s="28" t="n">
        <v>0.7</v>
      </c>
      <c r="G74" s="28" t="n">
        <v>0.7</v>
      </c>
      <c r="H74" s="28" t="n">
        <v>0.65</v>
      </c>
      <c r="I74" s="29" t="s">
        <v>100</v>
      </c>
    </row>
    <row r="75" customFormat="false" ht="15" hidden="false" customHeight="false" outlineLevel="0" collapsed="false">
      <c r="A75" s="22" t="n">
        <v>71</v>
      </c>
      <c r="B75" s="27" t="s">
        <v>163</v>
      </c>
      <c r="C75" s="28" t="n">
        <v>0.04</v>
      </c>
      <c r="D75" s="28" t="n">
        <v>0.23</v>
      </c>
      <c r="E75" s="28" t="n">
        <v>0.4</v>
      </c>
      <c r="F75" s="28" t="n">
        <v>0.57</v>
      </c>
      <c r="G75" s="28" t="n">
        <v>0.53</v>
      </c>
      <c r="H75" s="28" t="n">
        <v>0.4</v>
      </c>
      <c r="I75" s="29" t="s">
        <v>100</v>
      </c>
    </row>
    <row r="76" customFormat="false" ht="15" hidden="false" customHeight="false" outlineLevel="0" collapsed="false">
      <c r="A76" s="22" t="n">
        <v>72</v>
      </c>
      <c r="B76" s="27" t="s">
        <v>164</v>
      </c>
      <c r="C76" s="28" t="n">
        <v>0.07</v>
      </c>
      <c r="D76" s="28" t="n">
        <v>0.31</v>
      </c>
      <c r="E76" s="28" t="n">
        <v>0.49</v>
      </c>
      <c r="F76" s="28" t="n">
        <v>0.81</v>
      </c>
      <c r="G76" s="28" t="n">
        <v>0.66</v>
      </c>
      <c r="H76" s="28" t="n">
        <v>0.54</v>
      </c>
      <c r="I76" s="29" t="s">
        <v>100</v>
      </c>
    </row>
    <row r="77" customFormat="false" ht="15" hidden="false" customHeight="false" outlineLevel="0" collapsed="false">
      <c r="A77" s="22" t="n">
        <v>73</v>
      </c>
      <c r="B77" s="27" t="s">
        <v>165</v>
      </c>
      <c r="C77" s="28" t="n">
        <v>0.05</v>
      </c>
      <c r="D77" s="28" t="n">
        <v>0.2</v>
      </c>
      <c r="E77" s="28" t="n">
        <v>0.5</v>
      </c>
      <c r="F77" s="28" t="n">
        <v>0.75</v>
      </c>
      <c r="G77" s="28" t="n">
        <v>0.7</v>
      </c>
      <c r="H77" s="28" t="n">
        <v>0.7</v>
      </c>
      <c r="I77" s="29" t="s">
        <v>100</v>
      </c>
    </row>
    <row r="78" customFormat="false" ht="15" hidden="false" customHeight="false" outlineLevel="0" collapsed="false">
      <c r="A78" s="22" t="n">
        <v>74</v>
      </c>
      <c r="B78" s="27" t="s">
        <v>61</v>
      </c>
      <c r="C78" s="28" t="n">
        <v>0.14</v>
      </c>
      <c r="D78" s="28" t="n">
        <v>0.25</v>
      </c>
      <c r="E78" s="28" t="n">
        <v>0.3</v>
      </c>
      <c r="F78" s="28" t="n">
        <v>0.3</v>
      </c>
      <c r="G78" s="28" t="n">
        <v>0.3</v>
      </c>
      <c r="H78" s="28" t="n">
        <v>0.3</v>
      </c>
      <c r="I78" s="29" t="s">
        <v>100</v>
      </c>
    </row>
    <row r="79" customFormat="false" ht="15" hidden="false" customHeight="false" outlineLevel="0" collapsed="false">
      <c r="A79" s="22" t="n">
        <v>75</v>
      </c>
      <c r="B79" s="27" t="s">
        <v>166</v>
      </c>
      <c r="C79" s="28" t="n">
        <v>0.04</v>
      </c>
      <c r="D79" s="28" t="n">
        <v>0.13</v>
      </c>
      <c r="E79" s="28" t="n">
        <v>0.22</v>
      </c>
      <c r="F79" s="28" t="n">
        <v>0.17</v>
      </c>
      <c r="G79" s="28" t="n">
        <v>0.16</v>
      </c>
      <c r="H79" s="28" t="n">
        <v>0.11</v>
      </c>
      <c r="I79" s="29" t="s">
        <v>100</v>
      </c>
    </row>
    <row r="80" customFormat="false" ht="15" hidden="false" customHeight="false" outlineLevel="0" collapsed="false">
      <c r="A80" s="22" t="n">
        <v>76</v>
      </c>
      <c r="B80" s="27" t="s">
        <v>167</v>
      </c>
      <c r="C80" s="28" t="n">
        <v>0.02</v>
      </c>
      <c r="D80" s="28" t="n">
        <v>0.02</v>
      </c>
      <c r="E80" s="28" t="n">
        <v>0.02</v>
      </c>
      <c r="F80" s="28" t="n">
        <v>0.04</v>
      </c>
      <c r="G80" s="28" t="n">
        <v>0.04</v>
      </c>
      <c r="H80" s="28" t="n">
        <v>0.03</v>
      </c>
      <c r="I80" s="29" t="s">
        <v>100</v>
      </c>
    </row>
    <row r="81" customFormat="false" ht="15" hidden="false" customHeight="false" outlineLevel="0" collapsed="false">
      <c r="A81" s="22" t="n">
        <v>77</v>
      </c>
      <c r="B81" s="27" t="s">
        <v>168</v>
      </c>
      <c r="C81" s="28" t="n">
        <v>0.21</v>
      </c>
      <c r="D81" s="28" t="n">
        <v>0.28</v>
      </c>
      <c r="E81" s="28" t="n">
        <v>0.31</v>
      </c>
      <c r="F81" s="28" t="n">
        <v>0.36</v>
      </c>
      <c r="G81" s="28" t="n">
        <v>0.41</v>
      </c>
      <c r="H81" s="28" t="n">
        <v>0.41</v>
      </c>
      <c r="I81" s="29" t="s">
        <v>100</v>
      </c>
    </row>
    <row r="82" customFormat="false" ht="15" hidden="false" customHeight="false" outlineLevel="0" collapsed="false">
      <c r="A82" s="22" t="n">
        <v>78</v>
      </c>
      <c r="B82" s="27" t="s">
        <v>65</v>
      </c>
      <c r="C82" s="28" t="n">
        <v>0.25</v>
      </c>
      <c r="D82" s="28" t="n">
        <v>0.35</v>
      </c>
      <c r="E82" s="28" t="n">
        <v>0.4</v>
      </c>
      <c r="F82" s="28" t="n">
        <v>0.4</v>
      </c>
      <c r="G82" s="28" t="n">
        <v>0.4</v>
      </c>
      <c r="H82" s="28" t="n">
        <v>0.4</v>
      </c>
      <c r="I82" s="29" t="s">
        <v>100</v>
      </c>
    </row>
    <row r="83" customFormat="false" ht="15" hidden="false" customHeight="false" outlineLevel="0" collapsed="false">
      <c r="A83" s="22" t="n">
        <v>79</v>
      </c>
      <c r="B83" s="27" t="s">
        <v>169</v>
      </c>
      <c r="C83" s="28" t="n">
        <v>0.19</v>
      </c>
      <c r="D83" s="28" t="n">
        <v>0.33</v>
      </c>
      <c r="E83" s="28" t="n">
        <v>0.44</v>
      </c>
      <c r="F83" s="28" t="n">
        <v>0.42</v>
      </c>
      <c r="G83" s="28" t="n">
        <v>0.47</v>
      </c>
      <c r="H83" s="28" t="n">
        <v>0.38</v>
      </c>
      <c r="I83" s="29" t="s">
        <v>100</v>
      </c>
    </row>
    <row r="84" customFormat="false" ht="15" hidden="false" customHeight="false" outlineLevel="0" collapsed="false">
      <c r="A84" s="22" t="n">
        <v>80</v>
      </c>
      <c r="B84" s="27" t="s">
        <v>170</v>
      </c>
      <c r="C84" s="28" t="n">
        <v>0.08</v>
      </c>
      <c r="D84" s="28" t="n">
        <v>0.35</v>
      </c>
      <c r="E84" s="28" t="n">
        <v>0.22</v>
      </c>
      <c r="F84" s="28" t="n">
        <v>0.15</v>
      </c>
      <c r="G84" s="28" t="n">
        <v>0.15</v>
      </c>
      <c r="H84" s="28" t="n">
        <v>0.15</v>
      </c>
      <c r="I84" s="29" t="s">
        <v>100</v>
      </c>
    </row>
    <row r="85" customFormat="false" ht="15" hidden="false" customHeight="false" outlineLevel="0" collapsed="false">
      <c r="A85" s="22" t="n">
        <v>81</v>
      </c>
      <c r="B85" s="27" t="s">
        <v>171</v>
      </c>
      <c r="C85" s="28" t="n">
        <v>0.22</v>
      </c>
      <c r="D85" s="28" t="n">
        <v>0.33</v>
      </c>
      <c r="E85" s="28" t="n">
        <v>0.17</v>
      </c>
      <c r="F85" s="28" t="n">
        <v>0.24</v>
      </c>
      <c r="G85" s="28" t="n">
        <v>0.14</v>
      </c>
      <c r="H85" s="28" t="n">
        <v>0.12</v>
      </c>
      <c r="I85" s="29" t="s">
        <v>100</v>
      </c>
    </row>
    <row r="86" customFormat="false" ht="15" hidden="false" customHeight="false" outlineLevel="0" collapsed="false">
      <c r="A86" s="22" t="n">
        <v>82</v>
      </c>
      <c r="B86" s="27" t="s">
        <v>172</v>
      </c>
      <c r="C86" s="28" t="n">
        <v>0.07</v>
      </c>
      <c r="D86" s="28" t="n">
        <v>0.15</v>
      </c>
      <c r="E86" s="28" t="n">
        <v>0.33</v>
      </c>
      <c r="F86" s="28" t="n">
        <v>0.2</v>
      </c>
      <c r="G86" s="28" t="n">
        <v>0.18</v>
      </c>
      <c r="H86" s="28" t="n">
        <v>0.17</v>
      </c>
      <c r="I86" s="29" t="s">
        <v>100</v>
      </c>
    </row>
    <row r="87" customFormat="false" ht="15" hidden="false" customHeight="false" outlineLevel="0" collapsed="false">
      <c r="A87" s="22" t="n">
        <v>83</v>
      </c>
      <c r="B87" s="27" t="s">
        <v>173</v>
      </c>
      <c r="C87" s="28" t="n">
        <v>0.12</v>
      </c>
      <c r="D87" s="28" t="n">
        <v>0.37</v>
      </c>
      <c r="E87" s="28" t="n">
        <v>0.28</v>
      </c>
      <c r="F87" s="28" t="n">
        <v>0.25</v>
      </c>
      <c r="G87" s="28" t="n">
        <v>0.17</v>
      </c>
      <c r="H87" s="28" t="n">
        <v>0.15</v>
      </c>
      <c r="I87" s="29" t="s">
        <v>100</v>
      </c>
    </row>
    <row r="88" customFormat="false" ht="15" hidden="false" customHeight="false" outlineLevel="0" collapsed="false">
      <c r="A88" s="22" t="n">
        <v>84</v>
      </c>
      <c r="B88" s="27" t="s">
        <v>174</v>
      </c>
      <c r="C88" s="28" t="n">
        <v>0.18</v>
      </c>
      <c r="D88" s="28" t="n">
        <v>0.77</v>
      </c>
      <c r="E88" s="28" t="n">
        <v>0.4</v>
      </c>
      <c r="F88" s="28" t="n">
        <v>0.24</v>
      </c>
      <c r="G88" s="28" t="n">
        <v>0.2</v>
      </c>
      <c r="H88" s="28" t="n">
        <v>0.26</v>
      </c>
      <c r="I88" s="29" t="s">
        <v>100</v>
      </c>
    </row>
    <row r="89" customFormat="false" ht="15" hidden="false" customHeight="false" outlineLevel="0" collapsed="false">
      <c r="A89" s="22" t="n">
        <v>85</v>
      </c>
      <c r="B89" s="27" t="s">
        <v>175</v>
      </c>
      <c r="C89" s="28" t="n">
        <v>0.12</v>
      </c>
      <c r="D89" s="28" t="n">
        <v>0.5</v>
      </c>
      <c r="E89" s="28" t="n">
        <v>0.68</v>
      </c>
      <c r="F89" s="28" t="n">
        <v>0.4</v>
      </c>
      <c r="G89" s="28" t="n">
        <v>0.26</v>
      </c>
      <c r="H89" s="28" t="n">
        <v>0.22</v>
      </c>
      <c r="I89" s="29" t="s">
        <v>100</v>
      </c>
    </row>
    <row r="90" customFormat="false" ht="15" hidden="false" customHeight="false" outlineLevel="0" collapsed="false">
      <c r="A90" s="22" t="n">
        <v>86</v>
      </c>
      <c r="B90" s="27" t="s">
        <v>176</v>
      </c>
      <c r="C90" s="28" t="n">
        <v>0.15</v>
      </c>
      <c r="D90" s="28" t="n">
        <v>0.37</v>
      </c>
      <c r="E90" s="28" t="n">
        <v>0.4</v>
      </c>
      <c r="F90" s="28" t="n">
        <v>0.27</v>
      </c>
      <c r="G90" s="28" t="n">
        <v>0.15</v>
      </c>
      <c r="H90" s="28" t="n">
        <v>0.12</v>
      </c>
      <c r="I90" s="29" t="s">
        <v>100</v>
      </c>
    </row>
    <row r="91" customFormat="false" ht="15" hidden="false" customHeight="false" outlineLevel="0" collapsed="false">
      <c r="A91" s="22" t="n">
        <v>87</v>
      </c>
      <c r="B91" s="27" t="s">
        <v>177</v>
      </c>
      <c r="C91" s="28" t="n">
        <v>0.1</v>
      </c>
      <c r="D91" s="28" t="n">
        <v>0.25</v>
      </c>
      <c r="E91" s="28" t="n">
        <v>0.44</v>
      </c>
      <c r="F91" s="28" t="n">
        <v>0.42</v>
      </c>
      <c r="G91" s="28" t="n">
        <v>0.35</v>
      </c>
      <c r="H91" s="28" t="n">
        <v>0.3</v>
      </c>
      <c r="I91" s="29" t="s">
        <v>100</v>
      </c>
    </row>
    <row r="92" customFormat="false" ht="15" hidden="false" customHeight="false" outlineLevel="0" collapsed="false">
      <c r="A92" s="22" t="n">
        <v>88</v>
      </c>
      <c r="B92" s="27" t="s">
        <v>46</v>
      </c>
      <c r="C92" s="28" t="n">
        <v>0.45</v>
      </c>
      <c r="D92" s="28" t="n">
        <v>0.5</v>
      </c>
      <c r="E92" s="28" t="n">
        <v>0.37</v>
      </c>
      <c r="F92" s="28" t="n">
        <v>0.4</v>
      </c>
      <c r="G92" s="28" t="n">
        <v>0.4</v>
      </c>
      <c r="H92" s="28" t="n">
        <v>0.37</v>
      </c>
      <c r="I92" s="29" t="s">
        <v>100</v>
      </c>
    </row>
    <row r="93" customFormat="false" ht="15" hidden="false" customHeight="false" outlineLevel="0" collapsed="false">
      <c r="A93" s="22" t="n">
        <v>89</v>
      </c>
      <c r="B93" s="27" t="s">
        <v>178</v>
      </c>
      <c r="C93" s="28" t="n">
        <v>0.08</v>
      </c>
      <c r="D93" s="28" t="n">
        <v>0.2</v>
      </c>
      <c r="E93" s="28" t="n">
        <v>0.3</v>
      </c>
      <c r="F93" s="28" t="n">
        <v>0.24</v>
      </c>
      <c r="G93" s="28" t="n">
        <v>0.35</v>
      </c>
      <c r="H93" s="28" t="n">
        <v>0.38</v>
      </c>
      <c r="I93" s="29" t="s">
        <v>100</v>
      </c>
    </row>
    <row r="94" customFormat="false" ht="15" hidden="false" customHeight="false" outlineLevel="0" collapsed="false">
      <c r="A94" s="22" t="n">
        <v>90</v>
      </c>
      <c r="B94" s="27" t="s">
        <v>179</v>
      </c>
      <c r="C94" s="28" t="n">
        <v>0.37</v>
      </c>
      <c r="D94" s="28" t="n">
        <v>0.4</v>
      </c>
      <c r="E94" s="28" t="n">
        <v>0.32</v>
      </c>
      <c r="F94" s="28" t="n">
        <v>0.4</v>
      </c>
      <c r="G94" s="28" t="n">
        <v>0.4</v>
      </c>
      <c r="H94" s="28" t="n">
        <v>0.44</v>
      </c>
      <c r="I94" s="29" t="s">
        <v>100</v>
      </c>
    </row>
    <row r="95" customFormat="false" ht="15" hidden="false" customHeight="false" outlineLevel="0" collapsed="false">
      <c r="A95" s="22" t="n">
        <v>91</v>
      </c>
      <c r="B95" s="27" t="s">
        <v>180</v>
      </c>
      <c r="C95" s="28" t="n">
        <v>0.25</v>
      </c>
      <c r="D95" s="28" t="n">
        <v>0.87</v>
      </c>
      <c r="E95" s="28" t="n">
        <v>0.55</v>
      </c>
      <c r="F95" s="28" t="n">
        <v>0.4</v>
      </c>
      <c r="G95" s="28" t="n">
        <v>0.5</v>
      </c>
      <c r="H95" s="28" t="n">
        <v>0.44</v>
      </c>
      <c r="I95" s="29" t="s">
        <v>100</v>
      </c>
    </row>
    <row r="96" customFormat="false" ht="15" hidden="false" customHeight="false" outlineLevel="0" collapsed="false">
      <c r="A96" s="22" t="n">
        <v>92</v>
      </c>
      <c r="B96" s="27" t="s">
        <v>181</v>
      </c>
      <c r="C96" s="28" t="n">
        <v>0.68</v>
      </c>
      <c r="D96" s="28" t="n">
        <v>0.7</v>
      </c>
      <c r="E96" s="28" t="n">
        <v>0.67</v>
      </c>
      <c r="F96" s="28" t="n">
        <v>0.64</v>
      </c>
      <c r="G96" s="28" t="n">
        <v>0.52</v>
      </c>
      <c r="H96" s="28" t="n">
        <v>0.5</v>
      </c>
      <c r="I96" s="29" t="s">
        <v>100</v>
      </c>
    </row>
    <row r="97" customFormat="false" ht="15" hidden="false" customHeight="false" outlineLevel="0" collapsed="false">
      <c r="A97" s="22" t="n">
        <v>93</v>
      </c>
      <c r="B97" s="27" t="s">
        <v>182</v>
      </c>
      <c r="C97" s="28" t="n">
        <v>0.65</v>
      </c>
      <c r="D97" s="28" t="n">
        <v>0.65</v>
      </c>
      <c r="E97" s="28" t="n">
        <v>0.5</v>
      </c>
      <c r="F97" s="28" t="n">
        <v>0.4</v>
      </c>
      <c r="G97" s="28" t="n">
        <v>0.4</v>
      </c>
      <c r="H97" s="28" t="n">
        <v>0.4</v>
      </c>
      <c r="I97" s="29" t="s">
        <v>100</v>
      </c>
    </row>
    <row r="98" customFormat="false" ht="15" hidden="false" customHeight="false" outlineLevel="0" collapsed="false">
      <c r="A98" s="22" t="n">
        <v>94</v>
      </c>
      <c r="B98" s="27" t="s">
        <v>183</v>
      </c>
      <c r="C98" s="28" t="n">
        <v>0.2</v>
      </c>
      <c r="D98" s="28" t="n">
        <v>0.6</v>
      </c>
      <c r="E98" s="28" t="n">
        <v>0.75</v>
      </c>
      <c r="F98" s="28" t="n">
        <v>0.65</v>
      </c>
      <c r="G98" s="28" t="n">
        <v>0.7</v>
      </c>
      <c r="H98" s="28" t="n">
        <v>0.6</v>
      </c>
      <c r="I98" s="29" t="s">
        <v>100</v>
      </c>
    </row>
    <row r="99" customFormat="false" ht="15" hidden="false" customHeight="false" outlineLevel="0" collapsed="false">
      <c r="A99" s="22"/>
      <c r="B99" s="8"/>
      <c r="C99" s="30"/>
      <c r="D99" s="30"/>
      <c r="E99" s="30"/>
      <c r="F99" s="30"/>
      <c r="G99" s="30"/>
      <c r="H99" s="30"/>
      <c r="I99" s="8"/>
    </row>
    <row r="100" customFormat="false" ht="15" hidden="false" customHeight="false" outlineLevel="0" collapsed="false">
      <c r="A100" s="22"/>
      <c r="B100" s="8"/>
      <c r="C100" s="30"/>
      <c r="D100" s="30"/>
      <c r="E100" s="30"/>
      <c r="F100" s="30"/>
      <c r="G100" s="30"/>
      <c r="H100" s="30"/>
      <c r="I100" s="8"/>
    </row>
    <row r="101" customFormat="false" ht="15" hidden="false" customHeight="false" outlineLevel="0" collapsed="false">
      <c r="A101" s="22"/>
      <c r="B101" s="8"/>
      <c r="C101" s="30"/>
      <c r="D101" s="30"/>
      <c r="E101" s="30"/>
      <c r="F101" s="30"/>
      <c r="G101" s="30"/>
      <c r="H101" s="30"/>
      <c r="I101" s="8"/>
    </row>
    <row r="102" customFormat="false" ht="15" hidden="false" customHeight="false" outlineLevel="0" collapsed="false">
      <c r="A102" s="22"/>
      <c r="B102" s="8"/>
      <c r="C102" s="30"/>
      <c r="D102" s="30"/>
      <c r="E102" s="30"/>
      <c r="F102" s="30"/>
      <c r="G102" s="30"/>
      <c r="H102" s="30"/>
      <c r="I102" s="8"/>
    </row>
    <row r="103" customFormat="false" ht="15" hidden="false" customHeight="false" outlineLevel="0" collapsed="false">
      <c r="A103" s="22"/>
      <c r="B103" s="8"/>
      <c r="C103" s="30"/>
      <c r="D103" s="30"/>
      <c r="E103" s="30"/>
      <c r="F103" s="30"/>
      <c r="G103" s="30"/>
      <c r="H103" s="30"/>
      <c r="I103" s="8"/>
    </row>
    <row r="104" customFormat="false" ht="15" hidden="false" customHeight="false" outlineLevel="0" collapsed="false">
      <c r="A104" s="22"/>
      <c r="B104" s="8"/>
      <c r="C104" s="30"/>
      <c r="D104" s="30"/>
      <c r="E104" s="30"/>
      <c r="F104" s="30"/>
      <c r="G104" s="30"/>
      <c r="H104" s="30"/>
      <c r="I104" s="8"/>
    </row>
    <row r="105" customFormat="false" ht="15" hidden="false" customHeight="false" outlineLevel="0" collapsed="false">
      <c r="A105" s="22"/>
      <c r="B105" s="8"/>
      <c r="C105" s="30"/>
      <c r="D105" s="30"/>
      <c r="E105" s="30"/>
      <c r="F105" s="30"/>
      <c r="G105" s="30"/>
      <c r="H105" s="30"/>
      <c r="I105" s="8"/>
    </row>
    <row r="106" customFormat="false" ht="15" hidden="false" customHeight="false" outlineLevel="0" collapsed="false">
      <c r="A106" s="22"/>
      <c r="B106" s="8"/>
      <c r="C106" s="30"/>
      <c r="D106" s="30"/>
      <c r="E106" s="30"/>
      <c r="F106" s="30"/>
      <c r="G106" s="30"/>
      <c r="H106" s="30"/>
      <c r="I106" s="8"/>
    </row>
    <row r="107" customFormat="false" ht="15" hidden="false" customHeight="false" outlineLevel="0" collapsed="false">
      <c r="A107" s="22"/>
      <c r="B107" s="8"/>
      <c r="C107" s="30"/>
      <c r="D107" s="30"/>
      <c r="E107" s="30"/>
      <c r="F107" s="30"/>
      <c r="G107" s="30"/>
      <c r="H107" s="30"/>
      <c r="I107" s="8"/>
    </row>
    <row r="108" customFormat="false" ht="15" hidden="false" customHeight="false" outlineLevel="0" collapsed="false">
      <c r="A108" s="22"/>
      <c r="B108" s="8"/>
      <c r="C108" s="30"/>
      <c r="D108" s="30"/>
      <c r="E108" s="30"/>
      <c r="F108" s="30"/>
      <c r="G108" s="30"/>
      <c r="H108" s="30"/>
      <c r="I108" s="8"/>
    </row>
    <row r="109" customFormat="false" ht="15" hidden="false" customHeight="false" outlineLevel="0" collapsed="false">
      <c r="A109" s="22"/>
      <c r="B109" s="8"/>
      <c r="C109" s="30"/>
      <c r="D109" s="30"/>
      <c r="E109" s="30"/>
      <c r="F109" s="30"/>
      <c r="G109" s="30"/>
      <c r="H109" s="30"/>
      <c r="I109" s="8"/>
    </row>
    <row r="110" customFormat="false" ht="15" hidden="false" customHeight="false" outlineLevel="0" collapsed="false">
      <c r="A110" s="22"/>
      <c r="B110" s="8"/>
      <c r="C110" s="30"/>
      <c r="D110" s="30"/>
      <c r="E110" s="30"/>
      <c r="F110" s="30"/>
      <c r="G110" s="30"/>
      <c r="H110" s="30"/>
      <c r="I110" s="8"/>
    </row>
    <row r="111" customFormat="false" ht="15" hidden="false" customHeight="false" outlineLevel="0" collapsed="false">
      <c r="A111" s="22"/>
      <c r="B111" s="8"/>
      <c r="C111" s="30"/>
      <c r="D111" s="30"/>
      <c r="E111" s="30"/>
      <c r="F111" s="30"/>
      <c r="G111" s="30"/>
      <c r="H111" s="30"/>
      <c r="I111" s="8"/>
    </row>
    <row r="112" customFormat="false" ht="15" hidden="false" customHeight="false" outlineLevel="0" collapsed="false">
      <c r="A112" s="22"/>
      <c r="B112" s="8"/>
      <c r="C112" s="30"/>
      <c r="D112" s="30"/>
      <c r="E112" s="30"/>
      <c r="F112" s="30"/>
      <c r="G112" s="30"/>
      <c r="H112" s="30"/>
      <c r="I112" s="8"/>
    </row>
    <row r="113" customFormat="false" ht="15" hidden="false" customHeight="false" outlineLevel="0" collapsed="false">
      <c r="A113" s="22"/>
      <c r="B113" s="8"/>
      <c r="C113" s="30"/>
      <c r="D113" s="30"/>
      <c r="E113" s="30"/>
      <c r="F113" s="30"/>
      <c r="G113" s="30"/>
      <c r="H113" s="30"/>
      <c r="I113" s="8"/>
    </row>
    <row r="114" customFormat="false" ht="15" hidden="false" customHeight="false" outlineLevel="0" collapsed="false">
      <c r="A114" s="22"/>
      <c r="B114" s="8"/>
      <c r="C114" s="30"/>
      <c r="D114" s="30"/>
      <c r="E114" s="30"/>
      <c r="F114" s="30"/>
      <c r="G114" s="30"/>
      <c r="H114" s="30"/>
      <c r="I114" s="8"/>
    </row>
    <row r="115" customFormat="false" ht="15" hidden="false" customHeight="false" outlineLevel="0" collapsed="false">
      <c r="A115" s="22"/>
      <c r="B115" s="8"/>
      <c r="C115" s="30"/>
      <c r="D115" s="30"/>
      <c r="E115" s="30"/>
      <c r="F115" s="30"/>
      <c r="G115" s="30"/>
      <c r="H115" s="30"/>
      <c r="I115" s="8"/>
    </row>
    <row r="116" customFormat="false" ht="15" hidden="false" customHeight="false" outlineLevel="0" collapsed="false">
      <c r="A116" s="22"/>
      <c r="B116" s="8"/>
      <c r="C116" s="30"/>
      <c r="D116" s="30"/>
      <c r="E116" s="30"/>
      <c r="F116" s="30"/>
      <c r="G116" s="30"/>
      <c r="H116" s="30"/>
      <c r="I116" s="8"/>
    </row>
    <row r="117" customFormat="false" ht="15" hidden="false" customHeight="false" outlineLevel="0" collapsed="false">
      <c r="A117" s="22"/>
      <c r="B117" s="8"/>
      <c r="C117" s="30"/>
      <c r="D117" s="30"/>
      <c r="E117" s="30"/>
      <c r="F117" s="30"/>
      <c r="G117" s="30"/>
      <c r="H117" s="30"/>
      <c r="I117" s="8"/>
    </row>
    <row r="118" customFormat="false" ht="15" hidden="false" customHeight="false" outlineLevel="0" collapsed="false">
      <c r="A118" s="22"/>
      <c r="B118" s="8"/>
      <c r="C118" s="30"/>
      <c r="D118" s="30"/>
      <c r="E118" s="30"/>
      <c r="F118" s="30"/>
      <c r="G118" s="30"/>
      <c r="H118" s="30"/>
      <c r="I118" s="8"/>
    </row>
    <row r="119" customFormat="false" ht="15" hidden="false" customHeight="false" outlineLevel="0" collapsed="false">
      <c r="A119" s="22"/>
      <c r="B119" s="8"/>
      <c r="C119" s="30"/>
      <c r="D119" s="30"/>
      <c r="E119" s="30"/>
      <c r="F119" s="30"/>
      <c r="G119" s="30"/>
      <c r="H119" s="30"/>
      <c r="I119" s="8"/>
    </row>
    <row r="120" customFormat="false" ht="15" hidden="false" customHeight="false" outlineLevel="0" collapsed="false">
      <c r="A120" s="22"/>
      <c r="B120" s="8"/>
      <c r="C120" s="30"/>
      <c r="D120" s="30"/>
      <c r="E120" s="30"/>
      <c r="F120" s="30"/>
      <c r="G120" s="30"/>
      <c r="H120" s="30"/>
      <c r="I120" s="8"/>
    </row>
    <row r="121" customFormat="false" ht="15" hidden="false" customHeight="false" outlineLevel="0" collapsed="false">
      <c r="A121" s="22"/>
      <c r="B121" s="8"/>
      <c r="C121" s="30"/>
      <c r="D121" s="30"/>
      <c r="E121" s="30"/>
      <c r="F121" s="30"/>
      <c r="G121" s="30"/>
      <c r="H121" s="30"/>
      <c r="I121" s="8"/>
    </row>
    <row r="122" customFormat="false" ht="15" hidden="false" customHeight="false" outlineLevel="0" collapsed="false">
      <c r="A122" s="22"/>
      <c r="B122" s="8"/>
      <c r="C122" s="30"/>
      <c r="D122" s="30"/>
      <c r="E122" s="30"/>
      <c r="F122" s="30"/>
      <c r="G122" s="30"/>
      <c r="H122" s="30"/>
      <c r="I122" s="8"/>
    </row>
    <row r="123" customFormat="false" ht="15" hidden="false" customHeight="false" outlineLevel="0" collapsed="false">
      <c r="A123" s="22"/>
      <c r="B123" s="8"/>
      <c r="C123" s="30"/>
      <c r="D123" s="30"/>
      <c r="E123" s="30"/>
      <c r="F123" s="30"/>
      <c r="G123" s="30"/>
      <c r="H123" s="30"/>
      <c r="I123" s="8"/>
    </row>
    <row r="124" customFormat="false" ht="15" hidden="false" customHeight="false" outlineLevel="0" collapsed="false">
      <c r="A124" s="22"/>
      <c r="B124" s="8"/>
      <c r="C124" s="30"/>
      <c r="D124" s="30"/>
      <c r="E124" s="30"/>
      <c r="F124" s="30"/>
      <c r="G124" s="30"/>
      <c r="H124" s="30"/>
      <c r="I124" s="8"/>
    </row>
    <row r="125" customFormat="false" ht="15" hidden="false" customHeight="false" outlineLevel="0" collapsed="false">
      <c r="A125" s="22"/>
      <c r="B125" s="8"/>
      <c r="C125" s="30"/>
      <c r="D125" s="30"/>
      <c r="E125" s="30"/>
      <c r="F125" s="30"/>
      <c r="G125" s="30"/>
      <c r="H125" s="30"/>
      <c r="I125" s="8"/>
    </row>
    <row r="126" customFormat="false" ht="15" hidden="false" customHeight="false" outlineLevel="0" collapsed="false">
      <c r="A126" s="22"/>
      <c r="B126" s="8"/>
      <c r="C126" s="30"/>
      <c r="D126" s="30"/>
      <c r="E126" s="30"/>
      <c r="F126" s="30"/>
      <c r="G126" s="30"/>
      <c r="H126" s="30"/>
      <c r="I126" s="8"/>
    </row>
    <row r="127" customFormat="false" ht="15" hidden="false" customHeight="false" outlineLevel="0" collapsed="false">
      <c r="A127" s="22"/>
      <c r="B127" s="8"/>
      <c r="C127" s="30"/>
      <c r="D127" s="30"/>
      <c r="E127" s="30"/>
      <c r="F127" s="30"/>
      <c r="G127" s="30"/>
      <c r="H127" s="30"/>
      <c r="I127" s="8"/>
    </row>
    <row r="128" customFormat="false" ht="15" hidden="false" customHeight="false" outlineLevel="0" collapsed="false">
      <c r="A128" s="22"/>
      <c r="B128" s="8"/>
      <c r="C128" s="30"/>
      <c r="D128" s="30"/>
      <c r="E128" s="30"/>
      <c r="F128" s="30"/>
      <c r="G128" s="30"/>
      <c r="H128" s="30"/>
      <c r="I128" s="8"/>
    </row>
    <row r="129" customFormat="false" ht="15" hidden="false" customHeight="false" outlineLevel="0" collapsed="false">
      <c r="A129" s="22"/>
      <c r="B129" s="8"/>
      <c r="C129" s="30"/>
      <c r="D129" s="30"/>
      <c r="E129" s="30"/>
      <c r="F129" s="30"/>
      <c r="G129" s="30"/>
      <c r="H129" s="30"/>
      <c r="I129" s="8"/>
    </row>
    <row r="130" customFormat="false" ht="15" hidden="false" customHeight="false" outlineLevel="0" collapsed="false">
      <c r="A130" s="22"/>
      <c r="B130" s="8"/>
      <c r="C130" s="30"/>
      <c r="D130" s="30"/>
      <c r="E130" s="30"/>
      <c r="F130" s="30"/>
      <c r="G130" s="30"/>
      <c r="H130" s="30"/>
      <c r="I13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16" min="5" style="0" width="7.5"/>
    <col collapsed="false" customWidth="true" hidden="false" outlineLevel="0" max="17" min="17" style="0" width="60"/>
  </cols>
  <sheetData>
    <row r="1" customFormat="false" ht="17.15" hidden="false" customHeight="false" outlineLevel="0" collapsed="false">
      <c r="A1" s="31" t="s">
        <v>184</v>
      </c>
    </row>
    <row r="2" customFormat="false" ht="15" hidden="false" customHeight="false" outlineLevel="0" collapsed="false">
      <c r="A2" s="4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7" t="s">
        <v>26</v>
      </c>
      <c r="F4" s="7"/>
      <c r="G4" s="7" t="s">
        <v>27</v>
      </c>
      <c r="H4" s="7"/>
      <c r="I4" s="7" t="s">
        <v>28</v>
      </c>
      <c r="J4" s="7"/>
      <c r="K4" s="7" t="s">
        <v>29</v>
      </c>
      <c r="L4" s="7"/>
      <c r="M4" s="7" t="s">
        <v>30</v>
      </c>
      <c r="N4" s="7"/>
      <c r="O4" s="7" t="s">
        <v>31</v>
      </c>
      <c r="P4" s="7"/>
      <c r="Q4" s="3" t="s">
        <v>32</v>
      </c>
    </row>
    <row r="5" customFormat="false" ht="15" hidden="false" customHeight="false" outlineLevel="0" collapsed="false">
      <c r="A5" s="6"/>
      <c r="B5" s="6"/>
      <c r="C5" s="6"/>
      <c r="D5" s="6"/>
      <c r="E5" s="7" t="s">
        <v>33</v>
      </c>
      <c r="F5" s="7" t="s">
        <v>34</v>
      </c>
      <c r="G5" s="7" t="s">
        <v>33</v>
      </c>
      <c r="H5" s="7" t="s">
        <v>34</v>
      </c>
      <c r="I5" s="7" t="s">
        <v>33</v>
      </c>
      <c r="J5" s="7" t="s">
        <v>34</v>
      </c>
      <c r="K5" s="7" t="s">
        <v>33</v>
      </c>
      <c r="L5" s="7" t="s">
        <v>34</v>
      </c>
      <c r="M5" s="7" t="s">
        <v>33</v>
      </c>
      <c r="N5" s="7" t="s">
        <v>34</v>
      </c>
      <c r="O5" s="7" t="s">
        <v>33</v>
      </c>
      <c r="P5" s="7" t="s">
        <v>34</v>
      </c>
    </row>
    <row r="6" customFormat="false" ht="15" hidden="false" customHeight="false" outlineLevel="0" collapsed="false">
      <c r="A6" s="32" t="s">
        <v>185</v>
      </c>
      <c r="B6" s="27" t="s">
        <v>105</v>
      </c>
      <c r="C6" s="33" t="s">
        <v>37</v>
      </c>
      <c r="D6" s="34" t="n">
        <v>356</v>
      </c>
      <c r="E6" s="12" t="n">
        <f aca="false">IF($B6="","",IFERROR(INDEX(材料DB!C$5:C$130,MATCH($B6,材料DB!$B$5:$B$130,0)),"材料なし"))</f>
        <v>0.02</v>
      </c>
      <c r="F6" s="12" t="n">
        <f aca="false">IF(OR($B6="",$D6=""),"",IFERROR($D6*E6,""))</f>
        <v>7.12</v>
      </c>
      <c r="G6" s="12" t="n">
        <f aca="false">IF($B6="","",IFERROR(INDEX(材料DB!D$5:D$130,MATCH($B6,材料DB!$B$5:$B$130,0)),"材料なし"))</f>
        <v>0.03</v>
      </c>
      <c r="H6" s="12" t="n">
        <f aca="false">IF(OR($B6="",$D6=""),"",IFERROR($D6*G6,""))</f>
        <v>10.68</v>
      </c>
      <c r="I6" s="12" t="n">
        <f aca="false">IF($B6="","",IFERROR(INDEX(材料DB!E$5:E$130,MATCH($B6,材料DB!$B$5:$B$130,0)),"材料なし"))</f>
        <v>0.05</v>
      </c>
      <c r="J6" s="12" t="n">
        <f aca="false">IF(OR($B6="",$D6=""),"",IFERROR($D6*I6,""))</f>
        <v>17.8</v>
      </c>
      <c r="K6" s="12" t="n">
        <f aca="false">IF($B6="","",IFERROR(INDEX(材料DB!F$5:F$130,MATCH($B6,材料DB!$B$5:$B$130,0)),"材料なし"))</f>
        <v>0.08</v>
      </c>
      <c r="L6" s="12" t="n">
        <f aca="false">IF(OR($B6="",$D6=""),"",IFERROR($D6*K6,""))</f>
        <v>28.48</v>
      </c>
      <c r="M6" s="12" t="n">
        <f aca="false">IF($B6="","",IFERROR(INDEX(材料DB!G$5:G$130,MATCH($B6,材料DB!$B$5:$B$130,0)),"材料なし"))</f>
        <v>0.12</v>
      </c>
      <c r="N6" s="12" t="n">
        <f aca="false">IF(OR($B6="",$D6=""),"",IFERROR($D6*M6,""))</f>
        <v>42.72</v>
      </c>
      <c r="O6" s="12" t="n">
        <f aca="false">IF($B6="","",IFERROR(INDEX(材料DB!H$5:H$130,MATCH($B6,材料DB!$B$5:$B$130,0)),"材料なし"))</f>
        <v>0.15</v>
      </c>
      <c r="P6" s="12" t="n">
        <f aca="false">IF(OR($B6="",$D6=""),"",IFERROR($D6*O6,""))</f>
        <v>53.4</v>
      </c>
    </row>
    <row r="7" customFormat="false" ht="15" hidden="false" customHeight="false" outlineLevel="0" collapsed="false">
      <c r="A7" s="32" t="s">
        <v>39</v>
      </c>
      <c r="B7" s="27" t="s">
        <v>114</v>
      </c>
      <c r="C7" s="33" t="s">
        <v>37</v>
      </c>
      <c r="D7" s="34" t="n">
        <v>423</v>
      </c>
      <c r="E7" s="12" t="n">
        <f aca="false">IF($B7="","",IFERROR(INDEX(材料DB!C$5:C$130,MATCH($B7,材料DB!$B$5:$B$130,0)),"材料なし"))</f>
        <v>0.22</v>
      </c>
      <c r="F7" s="12" t="n">
        <f aca="false">IF(OR($B7="",$D7=""),"",IFERROR($D7*E7,""))</f>
        <v>93.06</v>
      </c>
      <c r="G7" s="12" t="n">
        <f aca="false">IF($B7="","",IFERROR(INDEX(材料DB!D$5:D$130,MATCH($B7,材料DB!$B$5:$B$130,0)),"材料なし"))</f>
        <v>0.13</v>
      </c>
      <c r="H7" s="12" t="n">
        <f aca="false">IF(OR($B7="",$D7=""),"",IFERROR($D7*G7,""))</f>
        <v>54.99</v>
      </c>
      <c r="I7" s="12" t="n">
        <f aca="false">IF($B7="","",IFERROR(INDEX(材料DB!E$5:E$130,MATCH($B7,材料DB!$B$5:$B$130,0)),"材料なし"))</f>
        <v>0.1</v>
      </c>
      <c r="J7" s="12" t="n">
        <f aca="false">IF(OR($B7="",$D7=""),"",IFERROR($D7*I7,""))</f>
        <v>42.3</v>
      </c>
      <c r="K7" s="12" t="n">
        <f aca="false">IF($B7="","",IFERROR(INDEX(材料DB!F$5:F$130,MATCH($B7,材料DB!$B$5:$B$130,0)),"材料なし"))</f>
        <v>0.07</v>
      </c>
      <c r="L7" s="12" t="n">
        <f aca="false">IF(OR($B7="",$D7=""),"",IFERROR($D7*K7,""))</f>
        <v>29.61</v>
      </c>
      <c r="M7" s="12" t="n">
        <f aca="false">IF($B7="","",IFERROR(INDEX(材料DB!G$5:G$130,MATCH($B7,材料DB!$B$5:$B$130,0)),"材料なし"))</f>
        <v>0.07</v>
      </c>
      <c r="N7" s="12" t="n">
        <f aca="false">IF(OR($B7="",$D7=""),"",IFERROR($D7*M7,""))</f>
        <v>29.61</v>
      </c>
      <c r="O7" s="12" t="n">
        <f aca="false">IF($B7="","",IFERROR(INDEX(材料DB!H$5:H$130,MATCH($B7,材料DB!$B$5:$B$130,0)),"材料なし"))</f>
        <v>0.08</v>
      </c>
      <c r="P7" s="12" t="n">
        <f aca="false">IF(OR($B7="",$D7=""),"",IFERROR($D7*O7,""))</f>
        <v>33.84</v>
      </c>
      <c r="Q7" s="13" t="s">
        <v>186</v>
      </c>
    </row>
    <row r="8" customFormat="false" ht="15" hidden="false" customHeight="false" outlineLevel="0" collapsed="false">
      <c r="A8" s="32" t="s">
        <v>42</v>
      </c>
      <c r="B8" s="27" t="s">
        <v>43</v>
      </c>
      <c r="C8" s="33" t="s">
        <v>37</v>
      </c>
      <c r="D8" s="34" t="n">
        <v>43</v>
      </c>
      <c r="E8" s="12" t="n">
        <f aca="false">IF($B8="","",IFERROR(INDEX(材料DB!C$5:C$130,MATCH($B8,材料DB!$B$5:$B$130,0)),"材料なし"))</f>
        <v>0.1</v>
      </c>
      <c r="F8" s="12" t="n">
        <f aca="false">IF(OR($B8="",$D8=""),"",IFERROR($D8*E8,""))</f>
        <v>4.3</v>
      </c>
      <c r="G8" s="12" t="n">
        <f aca="false">IF($B8="","",IFERROR(INDEX(材料DB!D$5:D$130,MATCH($B8,材料DB!$B$5:$B$130,0)),"材料なし"))</f>
        <v>0.15</v>
      </c>
      <c r="H8" s="12" t="n">
        <f aca="false">IF(OR($B8="",$D8=""),"",IFERROR($D8*G8,""))</f>
        <v>6.45</v>
      </c>
      <c r="I8" s="12" t="n">
        <f aca="false">IF($B8="","",IFERROR(INDEX(材料DB!E$5:E$130,MATCH($B8,材料DB!$B$5:$B$130,0)),"材料なし"))</f>
        <v>0.2</v>
      </c>
      <c r="J8" s="12" t="n">
        <f aca="false">IF(OR($B8="",$D8=""),"",IFERROR($D8*I8,""))</f>
        <v>8.6</v>
      </c>
      <c r="K8" s="12" t="n">
        <f aca="false">IF($B8="","",IFERROR(INDEX(材料DB!F$5:F$130,MATCH($B8,材料DB!$B$5:$B$130,0)),"材料なし"))</f>
        <v>0.22</v>
      </c>
      <c r="L8" s="12" t="n">
        <f aca="false">IF(OR($B8="",$D8=""),"",IFERROR($D8*K8,""))</f>
        <v>9.46</v>
      </c>
      <c r="M8" s="12" t="n">
        <f aca="false">IF($B8="","",IFERROR(INDEX(材料DB!G$5:G$130,MATCH($B8,材料DB!$B$5:$B$130,0)),"材料なし"))</f>
        <v>0.25</v>
      </c>
      <c r="N8" s="12" t="n">
        <f aca="false">IF(OR($B8="",$D8=""),"",IFERROR($D8*M8,""))</f>
        <v>10.75</v>
      </c>
      <c r="O8" s="12" t="n">
        <f aca="false">IF($B8="","",IFERROR(INDEX(材料DB!H$5:H$130,MATCH($B8,材料DB!$B$5:$B$130,0)),"材料なし"))</f>
        <v>0.3</v>
      </c>
      <c r="P8" s="12" t="n">
        <f aca="false">IF(OR($B8="",$D8=""),"",IFERROR($D8*O8,""))</f>
        <v>12.9</v>
      </c>
    </row>
    <row r="9" customFormat="false" ht="15" hidden="false" customHeight="false" outlineLevel="0" collapsed="false">
      <c r="A9" s="32" t="s">
        <v>187</v>
      </c>
      <c r="B9" s="27" t="s">
        <v>40</v>
      </c>
      <c r="C9" s="33" t="s">
        <v>37</v>
      </c>
      <c r="D9" s="34" t="n">
        <v>240</v>
      </c>
      <c r="E9" s="12" t="n">
        <f aca="false">IF($B9="","",IFERROR(INDEX(材料DB!C$5:C$130,MATCH($B9,材料DB!$B$5:$B$130,0)),"材料なし"))</f>
        <v>0.2</v>
      </c>
      <c r="F9" s="12" t="n">
        <f aca="false">IF(OR($B9="",$D9=""),"",IFERROR($D9*E9,""))</f>
        <v>48</v>
      </c>
      <c r="G9" s="12" t="n">
        <f aca="false">IF($B9="","",IFERROR(INDEX(材料DB!D$5:D$130,MATCH($B9,材料DB!$B$5:$B$130,0)),"材料なし"))</f>
        <v>0.12</v>
      </c>
      <c r="H9" s="12" t="n">
        <f aca="false">IF(OR($B9="",$D9=""),"",IFERROR($D9*G9,""))</f>
        <v>28.8</v>
      </c>
      <c r="I9" s="12" t="n">
        <f aca="false">IF($B9="","",IFERROR(INDEX(材料DB!E$5:E$130,MATCH($B9,材料DB!$B$5:$B$130,0)),"材料なし"))</f>
        <v>0.08</v>
      </c>
      <c r="J9" s="12" t="n">
        <f aca="false">IF(OR($B9="",$D9=""),"",IFERROR($D9*I9,""))</f>
        <v>19.2</v>
      </c>
      <c r="K9" s="12" t="n">
        <f aca="false">IF($B9="","",IFERROR(INDEX(材料DB!F$5:F$130,MATCH($B9,材料DB!$B$5:$B$130,0)),"材料なし"))</f>
        <v>0.07</v>
      </c>
      <c r="L9" s="12" t="n">
        <f aca="false">IF(OR($B9="",$D9=""),"",IFERROR($D9*K9,""))</f>
        <v>16.8</v>
      </c>
      <c r="M9" s="12" t="n">
        <f aca="false">IF($B9="","",IFERROR(INDEX(材料DB!G$5:G$130,MATCH($B9,材料DB!$B$5:$B$130,0)),"材料なし"))</f>
        <v>0.07</v>
      </c>
      <c r="N9" s="12" t="n">
        <f aca="false">IF(OR($B9="",$D9=""),"",IFERROR($D9*M9,""))</f>
        <v>16.8</v>
      </c>
      <c r="O9" s="12" t="n">
        <f aca="false">IF($B9="","",IFERROR(INDEX(材料DB!H$5:H$130,MATCH($B9,材料DB!$B$5:$B$130,0)),"材料なし"))</f>
        <v>0.08</v>
      </c>
      <c r="P9" s="12" t="n">
        <f aca="false">IF(OR($B9="",$D9=""),"",IFERROR($D9*O9,""))</f>
        <v>19.2</v>
      </c>
      <c r="Q9" s="13" t="s">
        <v>188</v>
      </c>
    </row>
    <row r="10" customFormat="false" ht="15" hidden="false" customHeight="false" outlineLevel="0" collapsed="false">
      <c r="A10" s="32" t="s">
        <v>187</v>
      </c>
      <c r="B10" s="27" t="s">
        <v>115</v>
      </c>
      <c r="C10" s="33" t="s">
        <v>37</v>
      </c>
      <c r="D10" s="34" t="n">
        <v>244</v>
      </c>
      <c r="E10" s="12" t="n">
        <f aca="false">IF($B10="","",IFERROR(INDEX(材料DB!C$5:C$130,MATCH($B10,材料DB!$B$5:$B$130,0)),"材料なし"))</f>
        <v>0.11</v>
      </c>
      <c r="F10" s="12" t="n">
        <f aca="false">IF(OR($B10="",$D10=""),"",IFERROR($D10*E10,""))</f>
        <v>26.84</v>
      </c>
      <c r="G10" s="12" t="n">
        <f aca="false">IF($B10="","",IFERROR(INDEX(材料DB!D$5:D$130,MATCH($B10,材料DB!$B$5:$B$130,0)),"材料なし"))</f>
        <v>0.23</v>
      </c>
      <c r="H10" s="12" t="n">
        <f aca="false">IF(OR($B10="",$D10=""),"",IFERROR($D10*G10,""))</f>
        <v>56.12</v>
      </c>
      <c r="I10" s="12" t="n">
        <f aca="false">IF($B10="","",IFERROR(INDEX(材料DB!E$5:E$130,MATCH($B10,材料DB!$B$5:$B$130,0)),"材料なし"))</f>
        <v>0.09</v>
      </c>
      <c r="J10" s="12" t="n">
        <f aca="false">IF(OR($B10="",$D10=""),"",IFERROR($D10*I10,""))</f>
        <v>21.96</v>
      </c>
      <c r="K10" s="12" t="n">
        <f aca="false">IF($B10="","",IFERROR(INDEX(材料DB!F$5:F$130,MATCH($B10,材料DB!$B$5:$B$130,0)),"材料なし"))</f>
        <v>0.07</v>
      </c>
      <c r="L10" s="12" t="n">
        <f aca="false">IF(OR($B10="",$D10=""),"",IFERROR($D10*K10,""))</f>
        <v>17.08</v>
      </c>
      <c r="M10" s="12" t="n">
        <f aca="false">IF($B10="","",IFERROR(INDEX(材料DB!G$5:G$130,MATCH($B10,材料DB!$B$5:$B$130,0)),"材料なし"))</f>
        <v>0.07</v>
      </c>
      <c r="N10" s="12" t="n">
        <f aca="false">IF(OR($B10="",$D10=""),"",IFERROR($D10*M10,""))</f>
        <v>17.08</v>
      </c>
      <c r="O10" s="12" t="n">
        <f aca="false">IF($B10="","",IFERROR(INDEX(材料DB!H$5:H$130,MATCH($B10,材料DB!$B$5:$B$130,0)),"材料なし"))</f>
        <v>0.08</v>
      </c>
      <c r="P10" s="12" t="n">
        <f aca="false">IF(OR($B10="",$D10=""),"",IFERROR($D10*O10,""))</f>
        <v>19.52</v>
      </c>
      <c r="Q10" s="13" t="s">
        <v>189</v>
      </c>
    </row>
    <row r="11" customFormat="false" ht="15" hidden="false" customHeight="false" outlineLevel="0" collapsed="false">
      <c r="A11" s="32" t="s">
        <v>187</v>
      </c>
      <c r="B11" s="27" t="s">
        <v>54</v>
      </c>
      <c r="C11" s="33" t="s">
        <v>37</v>
      </c>
      <c r="D11" s="34" t="n">
        <v>78</v>
      </c>
      <c r="E11" s="12" t="n">
        <f aca="false">IF($B11="","",IFERROR(INDEX(材料DB!C$5:C$130,MATCH($B11,材料DB!$B$5:$B$130,0)),"材料なし"))</f>
        <v>0.3</v>
      </c>
      <c r="F11" s="12" t="n">
        <f aca="false">IF(OR($B11="",$D11=""),"",IFERROR($D11*E11,""))</f>
        <v>23.4</v>
      </c>
      <c r="G11" s="12" t="n">
        <f aca="false">IF($B11="","",IFERROR(INDEX(材料DB!D$5:D$130,MATCH($B11,材料DB!$B$5:$B$130,0)),"材料なし"))</f>
        <v>0.35</v>
      </c>
      <c r="H11" s="12" t="n">
        <f aca="false">IF(OR($B11="",$D11=""),"",IFERROR($D11*G11,""))</f>
        <v>27.3</v>
      </c>
      <c r="I11" s="12" t="n">
        <f aca="false">IF($B11="","",IFERROR(INDEX(材料DB!E$5:E$130,MATCH($B11,材料DB!$B$5:$B$130,0)),"材料なし"))</f>
        <v>0.4</v>
      </c>
      <c r="J11" s="12" t="n">
        <f aca="false">IF(OR($B11="",$D11=""),"",IFERROR($D11*I11,""))</f>
        <v>31.2</v>
      </c>
      <c r="K11" s="12" t="n">
        <f aca="false">IF($B11="","",IFERROR(INDEX(材料DB!F$5:F$130,MATCH($B11,材料DB!$B$5:$B$130,0)),"材料なし"))</f>
        <v>0.45</v>
      </c>
      <c r="L11" s="12" t="n">
        <f aca="false">IF(OR($B11="",$D11=""),"",IFERROR($D11*K11,""))</f>
        <v>35.1</v>
      </c>
      <c r="M11" s="12" t="n">
        <f aca="false">IF($B11="","",IFERROR(INDEX(材料DB!G$5:G$130,MATCH($B11,材料DB!$B$5:$B$130,0)),"材料なし"))</f>
        <v>0.5</v>
      </c>
      <c r="N11" s="12" t="n">
        <f aca="false">IF(OR($B11="",$D11=""),"",IFERROR($D11*M11,""))</f>
        <v>39</v>
      </c>
      <c r="O11" s="12" t="n">
        <f aca="false">IF($B11="","",IFERROR(INDEX(材料DB!H$5:H$130,MATCH($B11,材料DB!$B$5:$B$130,0)),"材料なし"))</f>
        <v>0.55</v>
      </c>
      <c r="P11" s="12" t="n">
        <f aca="false">IF(OR($B11="",$D11=""),"",IFERROR($D11*O11,""))</f>
        <v>42.9</v>
      </c>
    </row>
    <row r="12" customFormat="false" ht="15" hidden="false" customHeight="false" outlineLevel="0" collapsed="false">
      <c r="A12" s="32" t="s">
        <v>55</v>
      </c>
      <c r="B12" s="27" t="s">
        <v>56</v>
      </c>
      <c r="C12" s="33" t="s">
        <v>37</v>
      </c>
      <c r="D12" s="34" t="n">
        <v>15</v>
      </c>
      <c r="E12" s="12" t="n">
        <f aca="false">IF($B12="","",IFERROR(INDEX(材料DB!C$5:C$130,MATCH($B12,材料DB!$B$5:$B$130,0)),"材料なし"))</f>
        <v>0.1</v>
      </c>
      <c r="F12" s="12" t="n">
        <f aca="false">IF(OR($B12="",$D12=""),"",IFERROR($D12*E12,""))</f>
        <v>1.5</v>
      </c>
      <c r="G12" s="12" t="n">
        <f aca="false">IF($B12="","",IFERROR(INDEX(材料DB!D$5:D$130,MATCH($B12,材料DB!$B$5:$B$130,0)),"材料なし"))</f>
        <v>0.15</v>
      </c>
      <c r="H12" s="12" t="n">
        <f aca="false">IF(OR($B12="",$D12=""),"",IFERROR($D12*G12,""))</f>
        <v>2.25</v>
      </c>
      <c r="I12" s="12" t="n">
        <f aca="false">IF($B12="","",IFERROR(INDEX(材料DB!E$5:E$130,MATCH($B12,材料DB!$B$5:$B$130,0)),"材料なし"))</f>
        <v>0.2</v>
      </c>
      <c r="J12" s="12" t="n">
        <f aca="false">IF(OR($B12="",$D12=""),"",IFERROR($D12*I12,""))</f>
        <v>3</v>
      </c>
      <c r="K12" s="12" t="n">
        <f aca="false">IF($B12="","",IFERROR(INDEX(材料DB!F$5:F$130,MATCH($B12,材料DB!$B$5:$B$130,0)),"材料なし"))</f>
        <v>0.25</v>
      </c>
      <c r="L12" s="12" t="n">
        <f aca="false">IF(OR($B12="",$D12=""),"",IFERROR($D12*K12,""))</f>
        <v>3.75</v>
      </c>
      <c r="M12" s="12" t="n">
        <f aca="false">IF($B12="","",IFERROR(INDEX(材料DB!G$5:G$130,MATCH($B12,材料DB!$B$5:$B$130,0)),"材料なし"))</f>
        <v>0.3</v>
      </c>
      <c r="N12" s="12" t="n">
        <f aca="false">IF(OR($B12="",$D12=""),"",IFERROR($D12*M12,""))</f>
        <v>4.5</v>
      </c>
      <c r="O12" s="12" t="n">
        <f aca="false">IF($B12="","",IFERROR(INDEX(材料DB!H$5:H$130,MATCH($B12,材料DB!$B$5:$B$130,0)),"材料なし"))</f>
        <v>0.3</v>
      </c>
      <c r="P12" s="12" t="n">
        <f aca="false">IF(OR($B12="",$D12=""),"",IFERROR($D12*O12,""))</f>
        <v>4.5</v>
      </c>
    </row>
    <row r="13" customFormat="false" ht="15" hidden="false" customHeight="false" outlineLevel="0" collapsed="false">
      <c r="A13" s="32" t="s">
        <v>190</v>
      </c>
      <c r="B13" s="27" t="s">
        <v>59</v>
      </c>
      <c r="C13" s="33" t="s">
        <v>37</v>
      </c>
      <c r="D13" s="34" t="n">
        <v>16</v>
      </c>
      <c r="E13" s="12" t="n">
        <f aca="false">IF($B13="","",IFERROR(INDEX(材料DB!C$5:C$130,MATCH($B13,材料DB!$B$5:$B$130,0)),"材料なし"))</f>
        <v>0.18</v>
      </c>
      <c r="F13" s="12" t="n">
        <f aca="false">IF(OR($B13="",$D13=""),"",IFERROR($D13*E13,""))</f>
        <v>2.88</v>
      </c>
      <c r="G13" s="12" t="n">
        <f aca="false">IF($B13="","",IFERROR(INDEX(材料DB!D$5:D$130,MATCH($B13,材料DB!$B$5:$B$130,0)),"材料なし"))</f>
        <v>0.06</v>
      </c>
      <c r="H13" s="12" t="n">
        <f aca="false">IF(OR($B13="",$D13=""),"",IFERROR($D13*G13,""))</f>
        <v>0.96</v>
      </c>
      <c r="I13" s="12" t="n">
        <f aca="false">IF($B13="","",IFERROR(INDEX(材料DB!E$5:E$130,MATCH($B13,材料DB!$B$5:$B$130,0)),"材料なし"))</f>
        <v>0.04</v>
      </c>
      <c r="J13" s="12" t="n">
        <f aca="false">IF(OR($B13="",$D13=""),"",IFERROR($D13*I13,""))</f>
        <v>0.64</v>
      </c>
      <c r="K13" s="12" t="n">
        <f aca="false">IF($B13="","",IFERROR(INDEX(材料DB!F$5:F$130,MATCH($B13,材料DB!$B$5:$B$130,0)),"材料なし"))</f>
        <v>0.03</v>
      </c>
      <c r="L13" s="12" t="n">
        <f aca="false">IF(OR($B13="",$D13=""),"",IFERROR($D13*K13,""))</f>
        <v>0.48</v>
      </c>
      <c r="M13" s="12" t="n">
        <f aca="false">IF($B13="","",IFERROR(INDEX(材料DB!G$5:G$130,MATCH($B13,材料DB!$B$5:$B$130,0)),"材料なし"))</f>
        <v>0.02</v>
      </c>
      <c r="N13" s="12" t="n">
        <f aca="false">IF(OR($B13="",$D13=""),"",IFERROR($D13*M13,""))</f>
        <v>0.32</v>
      </c>
      <c r="O13" s="12" t="n">
        <f aca="false">IF($B13="","",IFERROR(INDEX(材料DB!H$5:H$130,MATCH($B13,材料DB!$B$5:$B$130,0)),"材料なし"))</f>
        <v>0.02</v>
      </c>
      <c r="P13" s="12" t="n">
        <f aca="false">IF(OR($B13="",$D13=""),"",IFERROR($D13*O13,""))</f>
        <v>0.32</v>
      </c>
    </row>
    <row r="14" customFormat="false" ht="15" hidden="false" customHeight="false" outlineLevel="0" collapsed="false">
      <c r="A14" s="32" t="s">
        <v>60</v>
      </c>
      <c r="B14" s="27" t="s">
        <v>61</v>
      </c>
      <c r="C14" s="33" t="s">
        <v>62</v>
      </c>
      <c r="D14" s="34" t="n">
        <v>518</v>
      </c>
      <c r="E14" s="12" t="n">
        <f aca="false">IF($B14="","",IFERROR(INDEX(材料DB!C$5:C$130,MATCH($B14,材料DB!$B$5:$B$130,0)),"材料なし"))</f>
        <v>0.14</v>
      </c>
      <c r="F14" s="12" t="n">
        <f aca="false">IF(OR($B14="",$D14=""),"",IFERROR($D14*E14,""))</f>
        <v>72.52</v>
      </c>
      <c r="G14" s="12" t="n">
        <f aca="false">IF($B14="","",IFERROR(INDEX(材料DB!D$5:D$130,MATCH($B14,材料DB!$B$5:$B$130,0)),"材料なし"))</f>
        <v>0.25</v>
      </c>
      <c r="H14" s="12" t="n">
        <f aca="false">IF(OR($B14="",$D14=""),"",IFERROR($D14*G14,""))</f>
        <v>129.5</v>
      </c>
      <c r="I14" s="12" t="n">
        <f aca="false">IF($B14="","",IFERROR(INDEX(材料DB!E$5:E$130,MATCH($B14,材料DB!$B$5:$B$130,0)),"材料なし"))</f>
        <v>0.3</v>
      </c>
      <c r="J14" s="12" t="n">
        <f aca="false">IF(OR($B14="",$D14=""),"",IFERROR($D14*I14,""))</f>
        <v>155.4</v>
      </c>
      <c r="K14" s="12" t="n">
        <f aca="false">IF($B14="","",IFERROR(INDEX(材料DB!F$5:F$130,MATCH($B14,材料DB!$B$5:$B$130,0)),"材料なし"))</f>
        <v>0.3</v>
      </c>
      <c r="L14" s="12" t="n">
        <f aca="false">IF(OR($B14="",$D14=""),"",IFERROR($D14*K14,""))</f>
        <v>155.4</v>
      </c>
      <c r="M14" s="12" t="n">
        <f aca="false">IF($B14="","",IFERROR(INDEX(材料DB!G$5:G$130,MATCH($B14,材料DB!$B$5:$B$130,0)),"材料なし"))</f>
        <v>0.3</v>
      </c>
      <c r="N14" s="12" t="n">
        <f aca="false">IF(OR($B14="",$D14=""),"",IFERROR($D14*M14,""))</f>
        <v>155.4</v>
      </c>
      <c r="O14" s="12" t="n">
        <f aca="false">IF($B14="","",IFERROR(INDEX(材料DB!H$5:H$130,MATCH($B14,材料DB!$B$5:$B$130,0)),"材料なし"))</f>
        <v>0.3</v>
      </c>
      <c r="P14" s="12" t="n">
        <f aca="false">IF(OR($B14="",$D14=""),"",IFERROR($D14*O14,""))</f>
        <v>155.4</v>
      </c>
    </row>
    <row r="15" customFormat="false" ht="15" hidden="false" customHeight="false" outlineLevel="0" collapsed="false">
      <c r="A15" s="32" t="s">
        <v>64</v>
      </c>
      <c r="B15" s="27" t="s">
        <v>65</v>
      </c>
      <c r="C15" s="33" t="s">
        <v>66</v>
      </c>
      <c r="D15" s="34" t="n">
        <v>518</v>
      </c>
      <c r="E15" s="12" t="n">
        <f aca="false">IF($B15="","",IFERROR(INDEX(材料DB!C$5:C$130,MATCH($B15,材料DB!$B$5:$B$130,0)),"材料なし"))</f>
        <v>0.25</v>
      </c>
      <c r="F15" s="12" t="n">
        <f aca="false">IF(OR($B15="",$D15=""),"",IFERROR($D15*E15,""))</f>
        <v>129.5</v>
      </c>
      <c r="G15" s="12" t="n">
        <f aca="false">IF($B15="","",IFERROR(INDEX(材料DB!D$5:D$130,MATCH($B15,材料DB!$B$5:$B$130,0)),"材料なし"))</f>
        <v>0.35</v>
      </c>
      <c r="H15" s="12" t="n">
        <f aca="false">IF(OR($B15="",$D15=""),"",IFERROR($D15*G15,""))</f>
        <v>181.3</v>
      </c>
      <c r="I15" s="12" t="n">
        <f aca="false">IF($B15="","",IFERROR(INDEX(材料DB!E$5:E$130,MATCH($B15,材料DB!$B$5:$B$130,0)),"材料なし"))</f>
        <v>0.4</v>
      </c>
      <c r="J15" s="12" t="n">
        <f aca="false">IF(OR($B15="",$D15=""),"",IFERROR($D15*I15,""))</f>
        <v>207.2</v>
      </c>
      <c r="K15" s="12" t="n">
        <f aca="false">IF($B15="","",IFERROR(INDEX(材料DB!F$5:F$130,MATCH($B15,材料DB!$B$5:$B$130,0)),"材料なし"))</f>
        <v>0.4</v>
      </c>
      <c r="L15" s="12" t="n">
        <f aca="false">IF(OR($B15="",$D15=""),"",IFERROR($D15*K15,""))</f>
        <v>207.2</v>
      </c>
      <c r="M15" s="12" t="n">
        <f aca="false">IF($B15="","",IFERROR(INDEX(材料DB!G$5:G$130,MATCH($B15,材料DB!$B$5:$B$130,0)),"材料なし"))</f>
        <v>0.4</v>
      </c>
      <c r="N15" s="12" t="n">
        <f aca="false">IF(OR($B15="",$D15=""),"",IFERROR($D15*M15,""))</f>
        <v>207.2</v>
      </c>
      <c r="O15" s="12" t="n">
        <f aca="false">IF($B15="","",IFERROR(INDEX(材料DB!H$5:H$130,MATCH($B15,材料DB!$B$5:$B$130,0)),"材料なし"))</f>
        <v>0.4</v>
      </c>
      <c r="P15" s="12" t="n">
        <f aca="false">IF(OR($B15="",$D15=""),"",IFERROR($D15*O15,""))</f>
        <v>207.2</v>
      </c>
    </row>
    <row r="17" customFormat="false" ht="15" hidden="false" customHeight="false" outlineLevel="0" collapsed="false">
      <c r="A17" s="3" t="s">
        <v>68</v>
      </c>
      <c r="D17" s="15" t="n">
        <f aca="false">SUMIF($C$6:$C$15,"共通",$D$6:$D$15)</f>
        <v>1415</v>
      </c>
      <c r="E17" s="16" t="s">
        <v>69</v>
      </c>
      <c r="G17" s="17" t="s">
        <v>70</v>
      </c>
      <c r="I17" s="15" t="n">
        <f aca="false">D17+SUMIF($C$6:$C$15,"空席",$D$6:$D$15)</f>
        <v>1933</v>
      </c>
      <c r="Q17" s="13" t="s">
        <v>71</v>
      </c>
    </row>
    <row r="18" customFormat="false" ht="15" hidden="false" customHeight="false" outlineLevel="0" collapsed="false">
      <c r="A18" s="3" t="s">
        <v>72</v>
      </c>
      <c r="D18" s="35" t="n">
        <v>2649</v>
      </c>
      <c r="E18" s="16" t="s">
        <v>73</v>
      </c>
    </row>
    <row r="20" customFormat="false" ht="15" hidden="false" customHeight="false" outlineLevel="0" collapsed="false">
      <c r="A20" s="3" t="s">
        <v>74</v>
      </c>
      <c r="C20" s="3" t="s">
        <v>75</v>
      </c>
      <c r="F20" s="19" t="n">
        <f aca="false">SUMIF($C$6:$C$15,"共通",F$6:F$15)+SUMIF($C$6:$C$15,"空席",F$6:F$15)</f>
        <v>279.62</v>
      </c>
      <c r="H20" s="19" t="n">
        <f aca="false">SUMIF($C$6:$C$15,"共通",H$6:H$15)+SUMIF($C$6:$C$15,"空席",H$6:H$15)</f>
        <v>317.05</v>
      </c>
      <c r="J20" s="19" t="n">
        <f aca="false">SUMIF($C$6:$C$15,"共通",J$6:J$15)+SUMIF($C$6:$C$15,"空席",J$6:J$15)</f>
        <v>300.1</v>
      </c>
      <c r="L20" s="19" t="n">
        <f aca="false">SUMIF($C$6:$C$15,"共通",L$6:L$15)+SUMIF($C$6:$C$15,"空席",L$6:L$15)</f>
        <v>296.16</v>
      </c>
      <c r="N20" s="19" t="n">
        <f aca="false">SUMIF($C$6:$C$15,"共通",N$6:N$15)+SUMIF($C$6:$C$15,"空席",N$6:N$15)</f>
        <v>316.18</v>
      </c>
      <c r="P20" s="19" t="n">
        <f aca="false">SUMIF($C$6:$C$15,"共通",P$6:P$15)+SUMIF($C$6:$C$15,"空席",P$6:P$15)</f>
        <v>341.98</v>
      </c>
    </row>
    <row r="21" customFormat="false" ht="15" hidden="false" customHeight="false" outlineLevel="0" collapsed="false">
      <c r="A21" s="3"/>
      <c r="C21" s="3" t="s">
        <v>76</v>
      </c>
      <c r="F21" s="19" t="n">
        <f aca="false">SUMIF($C$6:$C$15,"共通",F$6:F$15)+SUMIF($C$6:$C$15,"満席",F$6:F$15)</f>
        <v>336.6</v>
      </c>
      <c r="H21" s="19" t="n">
        <f aca="false">SUMIF($C$6:$C$15,"共通",H$6:H$15)+SUMIF($C$6:$C$15,"満席",H$6:H$15)</f>
        <v>368.85</v>
      </c>
      <c r="J21" s="19" t="n">
        <f aca="false">SUMIF($C$6:$C$15,"共通",J$6:J$15)+SUMIF($C$6:$C$15,"満席",J$6:J$15)</f>
        <v>351.9</v>
      </c>
      <c r="L21" s="19" t="n">
        <f aca="false">SUMIF($C$6:$C$15,"共通",L$6:L$15)+SUMIF($C$6:$C$15,"満席",L$6:L$15)</f>
        <v>347.96</v>
      </c>
      <c r="N21" s="19" t="n">
        <f aca="false">SUMIF($C$6:$C$15,"共通",N$6:N$15)+SUMIF($C$6:$C$15,"満席",N$6:N$15)</f>
        <v>367.98</v>
      </c>
      <c r="P21" s="19" t="n">
        <f aca="false">SUMIF($C$6:$C$15,"共通",P$6:P$15)+SUMIF($C$6:$C$15,"満席",P$6:P$15)</f>
        <v>393.78</v>
      </c>
    </row>
    <row r="22" customFormat="false" ht="15" hidden="false" customHeight="false" outlineLevel="0" collapsed="false">
      <c r="A22" s="3" t="s">
        <v>77</v>
      </c>
      <c r="C22" s="3" t="s">
        <v>75</v>
      </c>
      <c r="F22" s="20" t="n">
        <f aca="false">IF(OR(F20=0,$D$18=""),"",0.16*$D$18/F20)</f>
        <v>1.51577140404835</v>
      </c>
      <c r="H22" s="20" t="n">
        <f aca="false">IF(OR(H20=0,$D$18=""),"",0.16*$D$18/H20)</f>
        <v>1.33682384481943</v>
      </c>
      <c r="J22" s="20" t="n">
        <f aca="false">IF(OR(J20=0,$D$18=""),"",0.16*$D$18/J20)</f>
        <v>1.41232922359214</v>
      </c>
      <c r="L22" s="20" t="n">
        <f aca="false">IF(OR(L20=0,$D$18=""),"",0.16*$D$18/L20)</f>
        <v>1.43111831442464</v>
      </c>
      <c r="N22" s="20" t="n">
        <f aca="false">IF(OR(N20=0,$D$18=""),"",0.16*$D$18/N20)</f>
        <v>1.34050224555633</v>
      </c>
      <c r="P22" s="20" t="n">
        <f aca="false">IF(OR(P20=0,$D$18=""),"",0.16*$D$18/P20)</f>
        <v>1.23937072343412</v>
      </c>
    </row>
    <row r="23" customFormat="false" ht="15" hidden="false" customHeight="false" outlineLevel="0" collapsed="false">
      <c r="A23" s="3"/>
      <c r="C23" s="3" t="s">
        <v>76</v>
      </c>
      <c r="F23" s="20" t="n">
        <f aca="false">IF(OR(F21=0,$D$18=""),"",0.16*$D$18/F21)</f>
        <v>1.25918003565062</v>
      </c>
      <c r="H23" s="20" t="n">
        <f aca="false">IF(OR(H21=0,$D$18=""),"",0.16*$D$18/H21)</f>
        <v>1.14908499389996</v>
      </c>
      <c r="J23" s="20" t="n">
        <f aca="false">IF(OR(J21=0,$D$18=""),"",0.16*$D$18/J21)</f>
        <v>1.20443307757886</v>
      </c>
      <c r="L23" s="20" t="n">
        <f aca="false">IF(OR(L21=0,$D$18=""),"",0.16*$D$18/L21)</f>
        <v>1.21807104264858</v>
      </c>
      <c r="N23" s="20" t="n">
        <f aca="false">IF(OR(N21=0,$D$18=""),"",0.16*$D$18/N21)</f>
        <v>1.1518017283548</v>
      </c>
      <c r="P23" s="20" t="n">
        <f aca="false">IF(OR(P21=0,$D$18=""),"",0.16*$D$18/P21)</f>
        <v>1.07633704098735</v>
      </c>
    </row>
    <row r="26" customFormat="false" ht="15" hidden="false" customHeight="false" outlineLevel="0" collapsed="false">
      <c r="A26" s="3" t="s">
        <v>78</v>
      </c>
    </row>
    <row r="27" customFormat="false" ht="15" hidden="false" customHeight="false" outlineLevel="0" collapsed="false">
      <c r="A27" s="21" t="s">
        <v>79</v>
      </c>
      <c r="B27" s="21" t="s">
        <v>75</v>
      </c>
      <c r="C27" s="21" t="s">
        <v>76</v>
      </c>
    </row>
    <row r="28" customFormat="false" ht="15" hidden="false" customHeight="false" outlineLevel="0" collapsed="false">
      <c r="A28" s="22" t="s">
        <v>80</v>
      </c>
      <c r="B28" s="23" t="n">
        <f aca="false">F22</f>
        <v>1.51577140404835</v>
      </c>
      <c r="C28" s="23" t="n">
        <f aca="false">F23</f>
        <v>1.25918003565062</v>
      </c>
    </row>
    <row r="29" customFormat="false" ht="15" hidden="false" customHeight="false" outlineLevel="0" collapsed="false">
      <c r="A29" s="22" t="s">
        <v>81</v>
      </c>
      <c r="B29" s="23" t="n">
        <f aca="false">H22</f>
        <v>1.33682384481943</v>
      </c>
      <c r="C29" s="23" t="n">
        <f aca="false">H23</f>
        <v>1.14908499389996</v>
      </c>
    </row>
    <row r="30" customFormat="false" ht="15" hidden="false" customHeight="false" outlineLevel="0" collapsed="false">
      <c r="A30" s="22" t="s">
        <v>82</v>
      </c>
      <c r="B30" s="23" t="n">
        <f aca="false">J22</f>
        <v>1.41232922359214</v>
      </c>
      <c r="C30" s="23" t="n">
        <f aca="false">J23</f>
        <v>1.20443307757886</v>
      </c>
    </row>
    <row r="31" customFormat="false" ht="15" hidden="false" customHeight="false" outlineLevel="0" collapsed="false">
      <c r="A31" s="22" t="s">
        <v>83</v>
      </c>
      <c r="B31" s="23" t="n">
        <f aca="false">L22</f>
        <v>1.43111831442464</v>
      </c>
      <c r="C31" s="23" t="n">
        <f aca="false">L23</f>
        <v>1.21807104264858</v>
      </c>
    </row>
    <row r="32" customFormat="false" ht="15" hidden="false" customHeight="false" outlineLevel="0" collapsed="false">
      <c r="A32" s="22" t="s">
        <v>84</v>
      </c>
      <c r="B32" s="23" t="n">
        <f aca="false">N22</f>
        <v>1.34050224555633</v>
      </c>
      <c r="C32" s="23" t="n">
        <f aca="false">N23</f>
        <v>1.1518017283548</v>
      </c>
    </row>
    <row r="33" customFormat="false" ht="15" hidden="false" customHeight="false" outlineLevel="0" collapsed="false">
      <c r="A33" s="22" t="s">
        <v>85</v>
      </c>
      <c r="B33" s="23" t="n">
        <f aca="false">P22</f>
        <v>1.23937072343412</v>
      </c>
      <c r="C33" s="23" t="n">
        <f aca="false">P23</f>
        <v>1.07633704098735</v>
      </c>
    </row>
    <row r="43" customFormat="false" ht="15" hidden="false" customHeight="false" outlineLevel="0" collapsed="false">
      <c r="A43" s="36" t="s">
        <v>191</v>
      </c>
    </row>
    <row r="44" customFormat="false" ht="15" hidden="false" customHeight="false" outlineLevel="0" collapsed="false">
      <c r="A44" s="17" t="s">
        <v>192</v>
      </c>
      <c r="F44" s="37" t="n">
        <v>279.62</v>
      </c>
      <c r="H44" s="37" t="n">
        <v>317.05</v>
      </c>
      <c r="J44" s="37" t="n">
        <v>300.1</v>
      </c>
      <c r="L44" s="37" t="n">
        <v>296.16</v>
      </c>
      <c r="N44" s="37" t="n">
        <v>316.18</v>
      </c>
      <c r="P44" s="37" t="n">
        <v>341.98</v>
      </c>
    </row>
    <row r="45" customFormat="false" ht="15" hidden="false" customHeight="false" outlineLevel="0" collapsed="false">
      <c r="A45" s="17" t="s">
        <v>193</v>
      </c>
      <c r="F45" s="38" t="str">
        <f aca="false">IF(ABS(F20-F44)&lt;=0.011,"OK","ズレ")</f>
        <v>OK</v>
      </c>
      <c r="H45" s="38" t="str">
        <f aca="false">IF(ABS(H20-H44)&lt;=0.011,"OK","ズレ")</f>
        <v>OK</v>
      </c>
      <c r="J45" s="38" t="str">
        <f aca="false">IF(ABS(J20-J44)&lt;=0.011,"OK","ズレ")</f>
        <v>OK</v>
      </c>
      <c r="L45" s="38" t="str">
        <f aca="false">IF(ABS(L20-L44)&lt;=0.011,"OK","ズレ")</f>
        <v>OK</v>
      </c>
      <c r="N45" s="38" t="str">
        <f aca="false">IF(ABS(N20-N44)&lt;=0.011,"OK","ズレ")</f>
        <v>OK</v>
      </c>
      <c r="P45" s="38" t="str">
        <f aca="false">IF(ABS(P20-P44)&lt;=0.011,"OK","ズレ")</f>
        <v>OK</v>
      </c>
    </row>
    <row r="46" customFormat="false" ht="15" hidden="false" customHeight="false" outlineLevel="0" collapsed="false">
      <c r="A46" s="17" t="s">
        <v>194</v>
      </c>
      <c r="F46" s="37" t="n">
        <v>336.6</v>
      </c>
      <c r="H46" s="37" t="n">
        <v>368.85</v>
      </c>
      <c r="J46" s="37" t="n">
        <v>351.9</v>
      </c>
      <c r="L46" s="37" t="n">
        <v>347.96</v>
      </c>
      <c r="N46" s="37" t="n">
        <v>367.98</v>
      </c>
      <c r="P46" s="37" t="n">
        <v>393.78</v>
      </c>
    </row>
    <row r="47" customFormat="false" ht="15" hidden="false" customHeight="false" outlineLevel="0" collapsed="false">
      <c r="A47" s="17" t="s">
        <v>195</v>
      </c>
      <c r="F47" s="38" t="str">
        <f aca="false">IF(ABS(F21-F46)&lt;=0.011,"OK","ズレ")</f>
        <v>OK</v>
      </c>
      <c r="H47" s="38" t="str">
        <f aca="false">IF(ABS(H21-H46)&lt;=0.011,"OK","ズレ")</f>
        <v>OK</v>
      </c>
      <c r="J47" s="38" t="str">
        <f aca="false">IF(ABS(J21-J46)&lt;=0.011,"OK","ズレ")</f>
        <v>OK</v>
      </c>
      <c r="L47" s="38" t="str">
        <f aca="false">IF(ABS(L21-L46)&lt;=0.011,"OK","ズレ")</f>
        <v>OK</v>
      </c>
      <c r="N47" s="38" t="str">
        <f aca="false">IF(ABS(N21-N46)&lt;=0.011,"OK","ズレ")</f>
        <v>OK</v>
      </c>
      <c r="P47" s="38" t="str">
        <f aca="false">IF(ABS(P21-P46)&lt;=0.011,"OK","ズレ")</f>
        <v>OK</v>
      </c>
    </row>
    <row r="48" customFormat="false" ht="15" hidden="false" customHeight="false" outlineLevel="0" collapsed="false">
      <c r="A48" s="17" t="s">
        <v>196</v>
      </c>
      <c r="F48" s="37" t="n">
        <v>1.52</v>
      </c>
      <c r="H48" s="37" t="n">
        <v>1.34</v>
      </c>
      <c r="J48" s="37" t="n">
        <v>1.41</v>
      </c>
      <c r="L48" s="37" t="n">
        <v>1.43</v>
      </c>
      <c r="N48" s="37" t="n">
        <v>1.34</v>
      </c>
      <c r="P48" s="37" t="n">
        <v>1.24</v>
      </c>
    </row>
    <row r="49" customFormat="false" ht="15" hidden="false" customHeight="false" outlineLevel="0" collapsed="false">
      <c r="A49" s="17" t="s">
        <v>197</v>
      </c>
      <c r="F49" s="38" t="str">
        <f aca="false">IF(ABS(F22-F48)&lt;=0.011,"OK","ズレ")</f>
        <v>OK</v>
      </c>
      <c r="H49" s="38" t="str">
        <f aca="false">IF(ABS(H22-H48)&lt;=0.011,"OK","ズレ")</f>
        <v>OK</v>
      </c>
      <c r="J49" s="38" t="str">
        <f aca="false">IF(ABS(J22-J48)&lt;=0.011,"OK","ズレ")</f>
        <v>OK</v>
      </c>
      <c r="L49" s="38" t="str">
        <f aca="false">IF(ABS(L22-L48)&lt;=0.011,"OK","ズレ")</f>
        <v>OK</v>
      </c>
      <c r="N49" s="38" t="str">
        <f aca="false">IF(ABS(N22-N48)&lt;=0.011,"OK","ズレ")</f>
        <v>OK</v>
      </c>
      <c r="P49" s="38" t="str">
        <f aca="false">IF(ABS(P22-P48)&lt;=0.011,"OK","ズレ")</f>
        <v>OK</v>
      </c>
    </row>
    <row r="50" customFormat="false" ht="15" hidden="false" customHeight="false" outlineLevel="0" collapsed="false">
      <c r="A50" s="17" t="s">
        <v>198</v>
      </c>
      <c r="F50" s="37" t="n">
        <v>1.26</v>
      </c>
      <c r="H50" s="37" t="n">
        <v>1.15</v>
      </c>
      <c r="J50" s="37" t="n">
        <v>1.2</v>
      </c>
      <c r="L50" s="37" t="n">
        <v>1.22</v>
      </c>
      <c r="N50" s="37" t="n">
        <v>1.15</v>
      </c>
      <c r="P50" s="37" t="n">
        <v>1.08</v>
      </c>
    </row>
    <row r="51" customFormat="false" ht="15" hidden="false" customHeight="false" outlineLevel="0" collapsed="false">
      <c r="A51" s="17" t="s">
        <v>199</v>
      </c>
      <c r="F51" s="38" t="str">
        <f aca="false">IF(ABS(F23-F50)&lt;=0.011,"OK","ズレ")</f>
        <v>OK</v>
      </c>
      <c r="H51" s="38" t="str">
        <f aca="false">IF(ABS(H23-H50)&lt;=0.011,"OK","ズレ")</f>
        <v>OK</v>
      </c>
      <c r="J51" s="38" t="str">
        <f aca="false">IF(ABS(J23-J50)&lt;=0.011,"OK","ズレ")</f>
        <v>OK</v>
      </c>
      <c r="L51" s="38" t="str">
        <f aca="false">IF(ABS(L23-L50)&lt;=0.011,"OK","ズレ")</f>
        <v>OK</v>
      </c>
      <c r="N51" s="38" t="str">
        <f aca="false">IF(ABS(N23-N50)&lt;=0.011,"OK","ズレ")</f>
        <v>OK</v>
      </c>
      <c r="P51" s="38" t="str">
        <f aca="false">IF(ABS(P23-P50)&lt;=0.011,"OK","ズレ")</f>
        <v>OK</v>
      </c>
    </row>
    <row r="53" customFormat="false" ht="15" hidden="false" customHeight="false" outlineLevel="0" collapsed="false">
      <c r="A53" s="13" t="s">
        <v>200</v>
      </c>
    </row>
  </sheetData>
  <mergeCells count="10"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2026-10-09T01:43:13Z</dcterms:created>
  <dc:creator>openpyxl</dc:creator>
  <dc:description/>
  <dc:language>en-US</dc:language>
  <cp:lastModifiedBy/>
  <dcterms:modified xsi:type="dcterms:W3CDTF">2026-10-09T01:43:15Z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