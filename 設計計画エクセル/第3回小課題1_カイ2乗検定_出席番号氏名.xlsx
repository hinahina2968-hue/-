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カイ2乗検定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2" borderId="1" pivotButton="0" quotePrefix="0" xfId="0"/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3" fillId="3" borderId="1" pivotButton="0" quotePrefix="0" xfId="0"/>
    <xf numFmtId="1" fontId="3" fillId="0" borderId="1" pivotButton="0" quotePrefix="0" xfId="0"/>
    <xf numFmtId="0" fontId="3" fillId="0" borderId="1" pivotButton="0" quotePrefix="0" xfId="0"/>
    <xf numFmtId="165" fontId="3" fillId="3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2" customWidth="1" min="6" max="6"/>
    <col width="3" customWidth="1" min="7" max="7"/>
    <col width="3" customWidth="1" min="8" max="8"/>
  </cols>
  <sheetData>
    <row r="1">
      <c r="B1" s="1" t="inlineStr">
        <is>
          <t>第3回 小課題1　看護単位と看護サービスの満足度（カイ2乗検定）</t>
        </is>
      </c>
    </row>
    <row r="3">
      <c r="B3" s="2" t="inlineStr">
        <is>
          <t>◆実測値（表2.1.1 クロス集計表）</t>
        </is>
      </c>
    </row>
    <row r="4" ht="36" customHeight="1">
      <c r="B4" s="3" t="inlineStr">
        <is>
          <t>満足度＼看護単位</t>
        </is>
      </c>
      <c r="C4" s="4" t="inlineStr">
        <is>
          <t>タイプ1
20床～29床</t>
        </is>
      </c>
      <c r="D4" s="4" t="inlineStr">
        <is>
          <t>タイプ2
30床～39床</t>
        </is>
      </c>
      <c r="E4" s="4" t="inlineStr">
        <is>
          <t>タイプ3
40床～49床</t>
        </is>
      </c>
      <c r="F4" s="4" t="inlineStr">
        <is>
          <t>合計</t>
        </is>
      </c>
    </row>
    <row r="5">
      <c r="B5" s="5" t="inlineStr">
        <is>
          <t>満足している</t>
        </is>
      </c>
      <c r="C5" s="6" t="n">
        <v>16</v>
      </c>
      <c r="D5" s="6" t="n">
        <v>8</v>
      </c>
      <c r="E5" s="6" t="n">
        <v>4</v>
      </c>
      <c r="F5" s="6">
        <f>SUM(C5:E5)</f>
        <v>28</v>
      </c>
    </row>
    <row r="6">
      <c r="B6" s="5" t="inlineStr">
        <is>
          <t>満足していない</t>
        </is>
      </c>
      <c r="C6" s="6" t="n">
        <v>6</v>
      </c>
      <c r="D6" s="6" t="n">
        <v>9</v>
      </c>
      <c r="E6" s="6" t="n">
        <v>11</v>
      </c>
      <c r="F6" s="6">
        <f>SUM(C6:E6)</f>
        <v>26</v>
      </c>
    </row>
    <row r="7">
      <c r="B7" s="5" t="inlineStr">
        <is>
          <t>合計</t>
        </is>
      </c>
      <c r="C7" s="6">
        <f>SUM(C5:C6)</f>
        <v>22</v>
      </c>
      <c r="D7" s="6">
        <f>SUM(D5:D6)</f>
        <v>17</v>
      </c>
      <c r="E7" s="6">
        <f>SUM(E5:E6)</f>
        <v>15</v>
      </c>
      <c r="F7" s="6">
        <f>SUM(C7:E7)</f>
        <v>54</v>
      </c>
    </row>
    <row r="9">
      <c r="B9" s="2" t="inlineStr">
        <is>
          <t>◆期待値（＝列の合計×行の合計÷総合計）</t>
        </is>
      </c>
    </row>
    <row r="10" ht="36" customHeight="1">
      <c r="B10" s="3" t="inlineStr">
        <is>
          <t>満足度＼看護単位</t>
        </is>
      </c>
      <c r="C10" s="4" t="inlineStr">
        <is>
          <t>タイプ1
20床～29床</t>
        </is>
      </c>
      <c r="D10" s="4" t="inlineStr">
        <is>
          <t>タイプ2
30床～39床</t>
        </is>
      </c>
      <c r="E10" s="4" t="inlineStr">
        <is>
          <t>タイプ3
40床～49床</t>
        </is>
      </c>
      <c r="F10" s="4" t="inlineStr">
        <is>
          <t>合計</t>
        </is>
      </c>
    </row>
    <row r="11">
      <c r="B11" s="5" t="inlineStr">
        <is>
          <t>満足している</t>
        </is>
      </c>
      <c r="C11" s="7">
        <f>C$7*$F5/$F$7</f>
        <v>11.4074074074074</v>
      </c>
      <c r="D11" s="7">
        <f>D$7*$F5/$F$7</f>
        <v>8.81481481481482</v>
      </c>
      <c r="E11" s="7">
        <f>E$7*$F5/$F$7</f>
        <v>7.77777777777778</v>
      </c>
      <c r="F11" s="7">
        <f>SUM(C11:E11)</f>
        <v>28</v>
      </c>
    </row>
    <row r="12">
      <c r="B12" s="5" t="inlineStr">
        <is>
          <t>満足していない</t>
        </is>
      </c>
      <c r="C12" s="7">
        <f>C$7*$F6/$F$7</f>
        <v>10.5925925925926</v>
      </c>
      <c r="D12" s="7">
        <f>D$7*$F6/$F$7</f>
        <v>8.18518518518519</v>
      </c>
      <c r="E12" s="7">
        <f>E$7*$F6/$F$7</f>
        <v>7.22222222222222</v>
      </c>
      <c r="F12" s="7">
        <f>SUM(C12:E12)</f>
        <v>26</v>
      </c>
    </row>
    <row r="13">
      <c r="B13" s="5" t="inlineStr">
        <is>
          <t>合計</t>
        </is>
      </c>
      <c r="C13" s="7">
        <f>SUM(C11:C12)</f>
        <v>22</v>
      </c>
      <c r="D13" s="7">
        <f>SUM(D11:D12)</f>
        <v>17</v>
      </c>
      <c r="E13" s="7">
        <f>SUM(E11:E12)</f>
        <v>15</v>
      </c>
      <c r="F13" s="7">
        <f>SUM(C13:E13)</f>
        <v>54</v>
      </c>
    </row>
    <row r="15">
      <c r="B15" s="2" t="inlineStr">
        <is>
          <t>◆（実測値－期待値）²÷期待値</t>
        </is>
      </c>
    </row>
    <row r="16" ht="36" customHeight="1">
      <c r="B16" s="3" t="inlineStr">
        <is>
          <t>満足度＼看護単位</t>
        </is>
      </c>
      <c r="C16" s="4" t="inlineStr">
        <is>
          <t>タイプ1
20床～29床</t>
        </is>
      </c>
      <c r="D16" s="4" t="inlineStr">
        <is>
          <t>タイプ2
30床～39床</t>
        </is>
      </c>
      <c r="E16" s="4" t="inlineStr">
        <is>
          <t>タイプ3
40床～49床</t>
        </is>
      </c>
    </row>
    <row r="17">
      <c r="B17" s="5" t="inlineStr">
        <is>
          <t>満足している</t>
        </is>
      </c>
      <c r="C17" s="7">
        <f>(C5-C11)^2/C11</f>
        <v>1.84896584896585</v>
      </c>
      <c r="D17" s="7">
        <f>(D5-D11)^2/D11</f>
        <v>0.0753190164954871</v>
      </c>
      <c r="E17" s="7">
        <f>(E5-E11)^2/E11</f>
        <v>1.83492063492063</v>
      </c>
    </row>
    <row r="18">
      <c r="B18" s="5" t="inlineStr">
        <is>
          <t>満足していない</t>
        </is>
      </c>
      <c r="C18" s="7">
        <f>(C6-C12)^2/C12</f>
        <v>1.99119399119399</v>
      </c>
      <c r="D18" s="7">
        <f>(D6-D12)^2/D12</f>
        <v>0.08111278699514</v>
      </c>
      <c r="E18" s="7">
        <f>(E6-E12)^2/E12</f>
        <v>1.97606837606838</v>
      </c>
    </row>
    <row r="20">
      <c r="B20" s="2" t="inlineStr">
        <is>
          <t>(1) ◆カイ2乗検定</t>
        </is>
      </c>
    </row>
    <row r="21">
      <c r="B21" s="5" t="inlineStr">
        <is>
          <t>χ²の値</t>
        </is>
      </c>
      <c r="C21" s="8">
        <f>SUM(C17:E18)</f>
        <v>7.80758065463948</v>
      </c>
    </row>
    <row r="22">
      <c r="B22" s="5" t="inlineStr">
        <is>
          <t>自由度</t>
        </is>
      </c>
      <c r="C22" s="9">
        <f>(ROWS(C5:E6)-1)*(COLUMNS(C5:E6)-1)</f>
        <v>2</v>
      </c>
    </row>
    <row r="23">
      <c r="B23" s="5" t="inlineStr">
        <is>
          <t>確率95%のχ²</t>
        </is>
      </c>
      <c r="C23" s="8">
        <f>_xlfn.CHISQ.INV.RT(0.05,C22)</f>
        <v>5.99146454710798</v>
      </c>
    </row>
    <row r="24">
      <c r="B24" s="5" t="inlineStr">
        <is>
          <t>判定</t>
        </is>
      </c>
      <c r="C24" s="10" t="str">
        <f>IF(C21&gt;C23,"χ²の値＞確率95%のχ² → 帰無仮説を否定","χ²の値≦確率95%のχ² → 帰無仮説を否定できない")</f>
        <v>χ²の値＞確率95%のχ² → 帰無仮説を否定</v>
      </c>
    </row>
    <row r="26">
      <c r="B26" s="2" t="inlineStr">
        <is>
          <t>(2) ◆χ²のP値（CHISQ.TEST）</t>
        </is>
      </c>
    </row>
    <row r="27">
      <c r="B27" s="5" t="inlineStr">
        <is>
          <t>P値（確率値）</t>
        </is>
      </c>
      <c r="C27" s="11">
        <f>_xlfn.CHISQ.TEST(C5:E6,C11:E12)</f>
        <v>0.0201653331958447</v>
      </c>
    </row>
    <row r="28">
      <c r="B28" s="5" t="inlineStr">
        <is>
          <t>判定</t>
        </is>
      </c>
      <c r="C28" s="10" t="str">
        <f>IF(C27&lt;=0.05,"0.05以下 → 帰無仮説を否定","0.05より大きい → 帰無仮説を否定できない")</f>
        <v>0.05以下 → 帰無仮説を否定</v>
      </c>
    </row>
    <row r="30">
      <c r="B30" s="2" t="inlineStr">
        <is>
          <t>◆解答</t>
        </is>
      </c>
    </row>
    <row r="31">
      <c r="B31" s="2" t="inlineStr">
        <is>
          <t>(1)</t>
        </is>
      </c>
      <c r="C31" s="12" t="str">
        <f>"χ²の値は"&amp;TEXT(C21,"0.000")&amp;"、自由度"&amp;C22&amp;"の確率95%のχ²は"&amp;TEXT(C23,"0.000")&amp;"。χ²の値は確率95%のχ²"&amp;IF(C21&gt;C23,"より大きい。","以下である。")</f>
        <v>χ²の値は7.808、自由度2の確率95%のχ²は5.991。χ²の値は確率95%のχ²より大きい。</v>
      </c>
    </row>
    <row r="32">
      <c r="B32" s="2" t="inlineStr">
        <is>
          <t>(2)</t>
        </is>
      </c>
      <c r="C32" s="12" t="str">
        <f>"CHISQ.TESTで求めたP値は"&amp;TEXT(C27,"0.0000")&amp;"で、0.05"&amp;IF(C27&lt;=0.05,"以下である。","より大きい。")</f>
        <v>CHISQ.TESTで求めたP値は0.0202で、0.05以下である。</v>
      </c>
    </row>
    <row r="33">
      <c r="B33" s="2" t="inlineStr">
        <is>
          <t>(3)</t>
        </is>
      </c>
      <c r="C33" s="12" t="str">
        <f>IF(C21&gt;C23,"帰無仮説は否定される。よって、医療施設の看護単位と看護サービスの満足度の間には関連があるといえる。","帰無仮説を否定できない。よって、医療施設の看護単位と看護サービスの満足度の間に関連があるとは言い切れない。")</f>
        <v>帰無仮説は否定される。よって、医療施設の看護単位と看護サービスの満足度の間には関連があるといえる。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2026-10-14T00:21:18Z</dcterms:created>
  <dcterms:modified xsi:type="dcterms:W3CDTF">2026-10-14T00:21:18Z</dcterms:modified>
</cp:coreProperties>
</file>