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カイ2乗検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name val="游ゴシック"/>
      <b val="1"/>
      <sz val="12"/>
    </font>
    <font>
      <name val="游ゴシック"/>
      <b val="1"/>
      <sz val="11"/>
    </font>
    <font>
      <name val="游ゴシック"/>
      <sz val="11"/>
    </font>
    <font>
      <name val="游ゴシック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pivotButton="0" quotePrefix="0" xfId="0"/>
    <xf numFmtId="1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0" pivotButton="0" quotePrefix="0" xfId="0"/>
    <xf numFmtId="164" fontId="3" fillId="0" borderId="1" applyAlignment="1" pivotButton="0" quotePrefix="0" xfId="0">
      <alignment horizontal="center" vertical="center"/>
    </xf>
    <xf numFmtId="164" fontId="3" fillId="3" borderId="1" pivotButton="0" quotePrefix="0" xfId="0"/>
    <xf numFmtId="1" fontId="3" fillId="0" borderId="1" pivotButton="0" quotePrefix="0" xfId="0"/>
    <xf numFmtId="165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6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2" customWidth="1" min="6" max="6"/>
    <col width="3" customWidth="1" min="7" max="7"/>
    <col width="3" customWidth="1" min="8" max="8"/>
    <col width="3" customWidth="1" min="9" max="9"/>
    <col width="7" customWidth="1" min="10" max="10"/>
    <col width="8" customWidth="1" min="11" max="11"/>
    <col width="8" customWidth="1" min="12" max="12"/>
    <col width="8" customWidth="1" min="13" max="13"/>
    <col width="16" customWidth="1" min="14" max="14"/>
  </cols>
  <sheetData>
    <row r="1">
      <c r="B1" s="1" t="inlineStr">
        <is>
          <t>第3回 小課題1　看護単位と看護サービスの満足度（カイ2乗検定）</t>
        </is>
      </c>
    </row>
    <row r="3">
      <c r="B3" s="2" t="inlineStr">
        <is>
          <t>◆実測値（右の表2.1.3をCOUNTIFSで集計＝表2.1.1）</t>
        </is>
      </c>
      <c r="J3" s="2" t="inlineStr">
        <is>
          <t>◆元データ（表2.1.3 ベッド数と満足度 アンケート集計）</t>
        </is>
      </c>
    </row>
    <row r="4" ht="36" customHeight="1">
      <c r="B4" s="3" t="inlineStr">
        <is>
          <t>満足度＼看護単位</t>
        </is>
      </c>
      <c r="C4" s="4" t="inlineStr">
        <is>
          <t>タイプ1
20床～29床</t>
        </is>
      </c>
      <c r="D4" s="4" t="inlineStr">
        <is>
          <t>タイプ2
30床～39床</t>
        </is>
      </c>
      <c r="E4" s="4" t="inlineStr">
        <is>
          <t>タイプ3
40床～49床</t>
        </is>
      </c>
      <c r="F4" s="4" t="inlineStr">
        <is>
          <t>合計</t>
        </is>
      </c>
      <c r="J4" s="3" t="inlineStr">
        <is>
          <t>No.</t>
        </is>
      </c>
      <c r="K4" s="3" t="inlineStr">
        <is>
          <t>タイプ</t>
        </is>
      </c>
      <c r="L4" s="3" t="inlineStr">
        <is>
          <t>性別</t>
        </is>
      </c>
      <c r="M4" s="3" t="inlineStr">
        <is>
          <t>年齢</t>
        </is>
      </c>
      <c r="N4" s="3" t="inlineStr">
        <is>
          <t>満足度</t>
        </is>
      </c>
    </row>
    <row r="5">
      <c r="B5" s="5" t="inlineStr">
        <is>
          <t>満足している</t>
        </is>
      </c>
      <c r="C5" s="6">
        <f>COUNTIFS($K$5:$K$58,1,$N$5:$N$58,$B5)</f>
        <v>16</v>
      </c>
      <c r="D5" s="6">
        <f>COUNTIFS($K$5:$K$58,2,$N$5:$N$58,$B5)</f>
        <v>8</v>
      </c>
      <c r="E5" s="6">
        <f>COUNTIFS($K$5:$K$58,3,$N$5:$N$58,$B5)</f>
        <v>4</v>
      </c>
      <c r="F5" s="6">
        <f>SUM(C5:E5)</f>
        <v>28</v>
      </c>
      <c r="J5" s="7" t="n">
        <v>1</v>
      </c>
      <c r="K5" s="7" t="n">
        <v>1</v>
      </c>
      <c r="L5" s="7" t="inlineStr">
        <is>
          <t>男性</t>
        </is>
      </c>
      <c r="M5" s="7" t="n">
        <v>62</v>
      </c>
      <c r="N5" s="8" t="inlineStr">
        <is>
          <t>満足していない</t>
        </is>
      </c>
    </row>
    <row r="6">
      <c r="B6" s="5" t="inlineStr">
        <is>
          <t>満足していない</t>
        </is>
      </c>
      <c r="C6" s="6">
        <f>COUNTIFS($K$5:$K$58,1,$N$5:$N$58,$B6)</f>
        <v>6</v>
      </c>
      <c r="D6" s="6">
        <f>COUNTIFS($K$5:$K$58,2,$N$5:$N$58,$B6)</f>
        <v>9</v>
      </c>
      <c r="E6" s="6">
        <f>COUNTIFS($K$5:$K$58,3,$N$5:$N$58,$B6)</f>
        <v>11</v>
      </c>
      <c r="F6" s="6">
        <f>SUM(C6:E6)</f>
        <v>26</v>
      </c>
      <c r="J6" s="7" t="n">
        <v>2</v>
      </c>
      <c r="K6" s="7" t="n">
        <v>1</v>
      </c>
      <c r="L6" s="7" t="inlineStr">
        <is>
          <t>男性</t>
        </is>
      </c>
      <c r="M6" s="7" t="n">
        <v>33</v>
      </c>
      <c r="N6" s="8" t="inlineStr">
        <is>
          <t>満足している</t>
        </is>
      </c>
    </row>
    <row r="7">
      <c r="B7" s="5" t="inlineStr">
        <is>
          <t>合計</t>
        </is>
      </c>
      <c r="C7" s="6">
        <f>SUM(C5:C6)</f>
        <v>22</v>
      </c>
      <c r="D7" s="6">
        <f>SUM(D5:D6)</f>
        <v>17</v>
      </c>
      <c r="E7" s="6">
        <f>SUM(E5:E6)</f>
        <v>15</v>
      </c>
      <c r="F7" s="6">
        <f>SUM(C7:E7)</f>
        <v>54</v>
      </c>
      <c r="J7" s="7" t="n">
        <v>3</v>
      </c>
      <c r="K7" s="7" t="n">
        <v>2</v>
      </c>
      <c r="L7" s="7" t="inlineStr">
        <is>
          <t>男性</t>
        </is>
      </c>
      <c r="M7" s="7" t="n">
        <v>64</v>
      </c>
      <c r="N7" s="8" t="inlineStr">
        <is>
          <t>満足していない</t>
        </is>
      </c>
    </row>
    <row r="8">
      <c r="B8" s="9" t="inlineStr">
        <is>
          <t>※C5:E6は右の元データから =COUNTIFS(タイプの列,タイプ番号,満足度の列,"満足している"など) で数えています</t>
        </is>
      </c>
      <c r="J8" s="7" t="n">
        <v>4</v>
      </c>
      <c r="K8" s="7" t="n">
        <v>1</v>
      </c>
      <c r="L8" s="7" t="inlineStr">
        <is>
          <t>女性</t>
        </is>
      </c>
      <c r="M8" s="7" t="n">
        <v>55</v>
      </c>
      <c r="N8" s="8" t="inlineStr">
        <is>
          <t>満足している</t>
        </is>
      </c>
    </row>
    <row r="9">
      <c r="B9" s="2" t="inlineStr">
        <is>
          <t>◆期待値（＝列の合計×行の合計÷総合計）</t>
        </is>
      </c>
      <c r="J9" s="7" t="n">
        <v>5</v>
      </c>
      <c r="K9" s="7" t="n">
        <v>3</v>
      </c>
      <c r="L9" s="7" t="inlineStr">
        <is>
          <t>女性</t>
        </is>
      </c>
      <c r="M9" s="7" t="n">
        <v>63</v>
      </c>
      <c r="N9" s="8" t="inlineStr">
        <is>
          <t>満足していない</t>
        </is>
      </c>
    </row>
    <row r="10" ht="36" customHeight="1">
      <c r="B10" s="3" t="inlineStr">
        <is>
          <t>満足度＼看護単位</t>
        </is>
      </c>
      <c r="C10" s="4" t="inlineStr">
        <is>
          <t>タイプ1
20床～29床</t>
        </is>
      </c>
      <c r="D10" s="4" t="inlineStr">
        <is>
          <t>タイプ2
30床～39床</t>
        </is>
      </c>
      <c r="E10" s="4" t="inlineStr">
        <is>
          <t>タイプ3
40床～49床</t>
        </is>
      </c>
      <c r="F10" s="4" t="inlineStr">
        <is>
          <t>合計</t>
        </is>
      </c>
      <c r="J10" s="7" t="n">
        <v>6</v>
      </c>
      <c r="K10" s="7" t="n">
        <v>1</v>
      </c>
      <c r="L10" s="7" t="inlineStr">
        <is>
          <t>女性</t>
        </is>
      </c>
      <c r="M10" s="7" t="n">
        <v>44</v>
      </c>
      <c r="N10" s="8" t="inlineStr">
        <is>
          <t>満足している</t>
        </is>
      </c>
    </row>
    <row r="11">
      <c r="B11" s="5" t="inlineStr">
        <is>
          <t>満足している</t>
        </is>
      </c>
      <c r="C11" s="10">
        <f>C$7*$F5/$F$7</f>
        <v>11.4074074074074</v>
      </c>
      <c r="D11" s="10">
        <f>D$7*$F5/$F$7</f>
        <v>8.81481481481482</v>
      </c>
      <c r="E11" s="10">
        <f>E$7*$F5/$F$7</f>
        <v>7.77777777777778</v>
      </c>
      <c r="F11" s="10">
        <f>SUM(C11:E11)</f>
        <v>28</v>
      </c>
      <c r="J11" s="7" t="n">
        <v>7</v>
      </c>
      <c r="K11" s="7" t="n">
        <v>3</v>
      </c>
      <c r="L11" s="7" t="inlineStr">
        <is>
          <t>女性</t>
        </is>
      </c>
      <c r="M11" s="7" t="n">
        <v>46</v>
      </c>
      <c r="N11" s="8" t="inlineStr">
        <is>
          <t>満足していない</t>
        </is>
      </c>
    </row>
    <row r="12">
      <c r="B12" s="5" t="inlineStr">
        <is>
          <t>満足していない</t>
        </is>
      </c>
      <c r="C12" s="10">
        <f>C$7*$F6/$F$7</f>
        <v>10.5925925925926</v>
      </c>
      <c r="D12" s="10">
        <f>D$7*$F6/$F$7</f>
        <v>8.18518518518519</v>
      </c>
      <c r="E12" s="10">
        <f>E$7*$F6/$F$7</f>
        <v>7.22222222222222</v>
      </c>
      <c r="F12" s="10">
        <f>SUM(C12:E12)</f>
        <v>26</v>
      </c>
      <c r="J12" s="7" t="n">
        <v>8</v>
      </c>
      <c r="K12" s="7" t="n">
        <v>2</v>
      </c>
      <c r="L12" s="7" t="inlineStr">
        <is>
          <t>女性</t>
        </is>
      </c>
      <c r="M12" s="7" t="n">
        <v>30</v>
      </c>
      <c r="N12" s="8" t="inlineStr">
        <is>
          <t>満足していない</t>
        </is>
      </c>
    </row>
    <row r="13">
      <c r="B13" s="5" t="inlineStr">
        <is>
          <t>合計</t>
        </is>
      </c>
      <c r="C13" s="10">
        <f>SUM(C11:C12)</f>
        <v>22</v>
      </c>
      <c r="D13" s="10">
        <f>SUM(D11:D12)</f>
        <v>17</v>
      </c>
      <c r="E13" s="10">
        <f>SUM(E11:E12)</f>
        <v>15</v>
      </c>
      <c r="F13" s="10">
        <f>SUM(C13:E13)</f>
        <v>54</v>
      </c>
      <c r="J13" s="7" t="n">
        <v>9</v>
      </c>
      <c r="K13" s="7" t="n">
        <v>1</v>
      </c>
      <c r="L13" s="7" t="inlineStr">
        <is>
          <t>男性</t>
        </is>
      </c>
      <c r="M13" s="7" t="n">
        <v>31</v>
      </c>
      <c r="N13" s="8" t="inlineStr">
        <is>
          <t>満足していない</t>
        </is>
      </c>
    </row>
    <row r="14">
      <c r="J14" s="7" t="n">
        <v>10</v>
      </c>
      <c r="K14" s="7" t="n">
        <v>3</v>
      </c>
      <c r="L14" s="7" t="inlineStr">
        <is>
          <t>男性</t>
        </is>
      </c>
      <c r="M14" s="7" t="n">
        <v>34</v>
      </c>
      <c r="N14" s="8" t="inlineStr">
        <is>
          <t>満足していない</t>
        </is>
      </c>
    </row>
    <row r="15">
      <c r="B15" s="2" t="inlineStr">
        <is>
          <t>◆（実測値－期待値）²÷期待値</t>
        </is>
      </c>
      <c r="J15" s="7" t="n">
        <v>11</v>
      </c>
      <c r="K15" s="7" t="n">
        <v>2</v>
      </c>
      <c r="L15" s="7" t="inlineStr">
        <is>
          <t>女性</t>
        </is>
      </c>
      <c r="M15" s="7" t="n">
        <v>53</v>
      </c>
      <c r="N15" s="8" t="inlineStr">
        <is>
          <t>満足している</t>
        </is>
      </c>
    </row>
    <row r="16" ht="36" customHeight="1">
      <c r="B16" s="3" t="inlineStr">
        <is>
          <t>満足度＼看護単位</t>
        </is>
      </c>
      <c r="C16" s="4" t="inlineStr">
        <is>
          <t>タイプ1
20床～29床</t>
        </is>
      </c>
      <c r="D16" s="4" t="inlineStr">
        <is>
          <t>タイプ2
30床～39床</t>
        </is>
      </c>
      <c r="E16" s="4" t="inlineStr">
        <is>
          <t>タイプ3
40床～49床</t>
        </is>
      </c>
      <c r="J16" s="7" t="n">
        <v>12</v>
      </c>
      <c r="K16" s="7" t="n">
        <v>1</v>
      </c>
      <c r="L16" s="7" t="inlineStr">
        <is>
          <t>女性</t>
        </is>
      </c>
      <c r="M16" s="7" t="n">
        <v>58</v>
      </c>
      <c r="N16" s="8" t="inlineStr">
        <is>
          <t>満足している</t>
        </is>
      </c>
    </row>
    <row r="17">
      <c r="B17" s="5" t="inlineStr">
        <is>
          <t>満足している</t>
        </is>
      </c>
      <c r="C17" s="10">
        <f>(C5-C11)^2/C11</f>
        <v>1.84896584896585</v>
      </c>
      <c r="D17" s="10">
        <f>(D5-D11)^2/D11</f>
        <v>0.0753190164954871</v>
      </c>
      <c r="E17" s="10">
        <f>(E5-E11)^2/E11</f>
        <v>1.83492063492063</v>
      </c>
      <c r="J17" s="7" t="n">
        <v>13</v>
      </c>
      <c r="K17" s="7" t="n">
        <v>2</v>
      </c>
      <c r="L17" s="7" t="inlineStr">
        <is>
          <t>女性</t>
        </is>
      </c>
      <c r="M17" s="7" t="n">
        <v>68</v>
      </c>
      <c r="N17" s="8" t="inlineStr">
        <is>
          <t>満足している</t>
        </is>
      </c>
    </row>
    <row r="18">
      <c r="B18" s="5" t="inlineStr">
        <is>
          <t>満足していない</t>
        </is>
      </c>
      <c r="C18" s="10">
        <f>(C6-C12)^2/C12</f>
        <v>1.99119399119399</v>
      </c>
      <c r="D18" s="10">
        <f>(D6-D12)^2/D12</f>
        <v>0.08111278699514</v>
      </c>
      <c r="E18" s="10">
        <f>(E6-E12)^2/E12</f>
        <v>1.97606837606838</v>
      </c>
      <c r="J18" s="7" t="n">
        <v>14</v>
      </c>
      <c r="K18" s="7" t="n">
        <v>1</v>
      </c>
      <c r="L18" s="7" t="inlineStr">
        <is>
          <t>女性</t>
        </is>
      </c>
      <c r="M18" s="7" t="n">
        <v>32</v>
      </c>
      <c r="N18" s="8" t="inlineStr">
        <is>
          <t>満足していない</t>
        </is>
      </c>
    </row>
    <row r="19">
      <c r="J19" s="7" t="n">
        <v>15</v>
      </c>
      <c r="K19" s="7" t="n">
        <v>1</v>
      </c>
      <c r="L19" s="7" t="inlineStr">
        <is>
          <t>女性</t>
        </is>
      </c>
      <c r="M19" s="7" t="n">
        <v>48</v>
      </c>
      <c r="N19" s="8" t="inlineStr">
        <is>
          <t>満足している</t>
        </is>
      </c>
    </row>
    <row r="20">
      <c r="B20" s="2" t="inlineStr">
        <is>
          <t>(1) ◆カイ2乗検定</t>
        </is>
      </c>
      <c r="J20" s="7" t="n">
        <v>16</v>
      </c>
      <c r="K20" s="7" t="n">
        <v>2</v>
      </c>
      <c r="L20" s="7" t="inlineStr">
        <is>
          <t>女性</t>
        </is>
      </c>
      <c r="M20" s="7" t="n">
        <v>41</v>
      </c>
      <c r="N20" s="8" t="inlineStr">
        <is>
          <t>満足していない</t>
        </is>
      </c>
    </row>
    <row r="21">
      <c r="B21" s="5" t="inlineStr">
        <is>
          <t>χ²の値</t>
        </is>
      </c>
      <c r="C21" s="11">
        <f>SUM(C17:E18)</f>
        <v>7.80758065463948</v>
      </c>
      <c r="J21" s="7" t="n">
        <v>17</v>
      </c>
      <c r="K21" s="7" t="n">
        <v>1</v>
      </c>
      <c r="L21" s="7" t="inlineStr">
        <is>
          <t>男性</t>
        </is>
      </c>
      <c r="M21" s="7" t="n">
        <v>39</v>
      </c>
      <c r="N21" s="8" t="inlineStr">
        <is>
          <t>満足している</t>
        </is>
      </c>
    </row>
    <row r="22">
      <c r="B22" s="5" t="inlineStr">
        <is>
          <t>自由度</t>
        </is>
      </c>
      <c r="C22" s="12">
        <f>(ROWS(C5:E6)-1)*(COLUMNS(C5:E6)-1)</f>
        <v>2</v>
      </c>
      <c r="J22" s="7" t="n">
        <v>18</v>
      </c>
      <c r="K22" s="7" t="n">
        <v>1</v>
      </c>
      <c r="L22" s="7" t="inlineStr">
        <is>
          <t>男性</t>
        </is>
      </c>
      <c r="M22" s="7" t="n">
        <v>52</v>
      </c>
      <c r="N22" s="8" t="inlineStr">
        <is>
          <t>満足している</t>
        </is>
      </c>
    </row>
    <row r="23">
      <c r="B23" s="5" t="inlineStr">
        <is>
          <t>確率95%のχ²</t>
        </is>
      </c>
      <c r="C23" s="11">
        <f>_xlfn.CHISQ.INV.RT(0.05,C22)</f>
        <v>5.99146454710798</v>
      </c>
      <c r="J23" s="7" t="n">
        <v>19</v>
      </c>
      <c r="K23" s="7" t="n">
        <v>3</v>
      </c>
      <c r="L23" s="7" t="inlineStr">
        <is>
          <t>女性</t>
        </is>
      </c>
      <c r="M23" s="7" t="n">
        <v>63</v>
      </c>
      <c r="N23" s="8" t="inlineStr">
        <is>
          <t>満足していない</t>
        </is>
      </c>
    </row>
    <row r="24">
      <c r="B24" s="5" t="inlineStr">
        <is>
          <t>判定</t>
        </is>
      </c>
      <c r="C24" s="8" t="str">
        <f>IF(C21&gt;C23,"χ²の値＞確率95%のχ² → 帰無仮説を否定","χ²の値≦確率95%のχ² → 帰無仮説を否定できない")</f>
        <v>χ²の値＞確率95%のχ² → 帰無仮説を否定</v>
      </c>
      <c r="J24" s="7" t="n">
        <v>20</v>
      </c>
      <c r="K24" s="7" t="n">
        <v>2</v>
      </c>
      <c r="L24" s="7" t="inlineStr">
        <is>
          <t>男性</t>
        </is>
      </c>
      <c r="M24" s="7" t="n">
        <v>50</v>
      </c>
      <c r="N24" s="8" t="inlineStr">
        <is>
          <t>満足していない</t>
        </is>
      </c>
    </row>
    <row r="25">
      <c r="J25" s="7" t="n">
        <v>21</v>
      </c>
      <c r="K25" s="7" t="n">
        <v>1</v>
      </c>
      <c r="L25" s="7" t="inlineStr">
        <is>
          <t>男性</t>
        </is>
      </c>
      <c r="M25" s="7" t="n">
        <v>36</v>
      </c>
      <c r="N25" s="8" t="inlineStr">
        <is>
          <t>満足している</t>
        </is>
      </c>
    </row>
    <row r="26">
      <c r="B26" s="2" t="inlineStr">
        <is>
          <t>(2) ◆χ²のP値（CHISQ.TEST）</t>
        </is>
      </c>
      <c r="J26" s="7" t="n">
        <v>22</v>
      </c>
      <c r="K26" s="7" t="n">
        <v>1</v>
      </c>
      <c r="L26" s="7" t="inlineStr">
        <is>
          <t>男性</t>
        </is>
      </c>
      <c r="M26" s="7" t="n">
        <v>49</v>
      </c>
      <c r="N26" s="8" t="inlineStr">
        <is>
          <t>満足している</t>
        </is>
      </c>
    </row>
    <row r="27">
      <c r="B27" s="5" t="inlineStr">
        <is>
          <t>P値（確率値）</t>
        </is>
      </c>
      <c r="C27" s="13">
        <f>_xlfn.CHISQ.TEST(C5:E6,C11:E12)</f>
        <v>0.0201653331958447</v>
      </c>
      <c r="J27" s="7" t="n">
        <v>23</v>
      </c>
      <c r="K27" s="7" t="n">
        <v>2</v>
      </c>
      <c r="L27" s="7" t="inlineStr">
        <is>
          <t>女性</t>
        </is>
      </c>
      <c r="M27" s="7" t="n">
        <v>50</v>
      </c>
      <c r="N27" s="8" t="inlineStr">
        <is>
          <t>満足していない</t>
        </is>
      </c>
    </row>
    <row r="28">
      <c r="B28" s="5" t="inlineStr">
        <is>
          <t>判定</t>
        </is>
      </c>
      <c r="C28" s="8" t="str">
        <f>IF(C27&lt;=0.05,"0.05以下 → 帰無仮説を否定","0.05より大きい → 帰無仮説を否定できない")</f>
        <v>0.05以下 → 帰無仮説を否定</v>
      </c>
      <c r="J28" s="7" t="n">
        <v>24</v>
      </c>
      <c r="K28" s="7" t="n">
        <v>3</v>
      </c>
      <c r="L28" s="7" t="inlineStr">
        <is>
          <t>女性</t>
        </is>
      </c>
      <c r="M28" s="7" t="n">
        <v>60</v>
      </c>
      <c r="N28" s="8" t="inlineStr">
        <is>
          <t>満足している</t>
        </is>
      </c>
    </row>
    <row r="29">
      <c r="J29" s="7" t="n">
        <v>25</v>
      </c>
      <c r="K29" s="7" t="n">
        <v>1</v>
      </c>
      <c r="L29" s="7" t="inlineStr">
        <is>
          <t>男性</t>
        </is>
      </c>
      <c r="M29" s="7" t="n">
        <v>45</v>
      </c>
      <c r="N29" s="8" t="inlineStr">
        <is>
          <t>満足していない</t>
        </is>
      </c>
    </row>
    <row r="30">
      <c r="B30" s="2" t="inlineStr">
        <is>
          <t>◆解答</t>
        </is>
      </c>
      <c r="J30" s="7" t="n">
        <v>26</v>
      </c>
      <c r="K30" s="7" t="n">
        <v>3</v>
      </c>
      <c r="L30" s="7" t="inlineStr">
        <is>
          <t>女性</t>
        </is>
      </c>
      <c r="M30" s="7" t="n">
        <v>67</v>
      </c>
      <c r="N30" s="8" t="inlineStr">
        <is>
          <t>満足している</t>
        </is>
      </c>
    </row>
    <row r="31">
      <c r="B31" s="2" t="inlineStr">
        <is>
          <t>(1)</t>
        </is>
      </c>
      <c r="C31" s="14" t="str">
        <f>"χ²の値は"&amp;TEXT(C21,"0.000")&amp;"、自由度"&amp;C22&amp;"の確率95%のχ²は"&amp;TEXT(C23,"0.000")&amp;"。χ²の値は確率95%のχ²"&amp;IF(C21&gt;C23,"より大きい。","以下である。")</f>
        <v>χ²の値は7.808、自由度2の確率95%のχ²は5.991。χ²の値は確率95%のχ²より大きい。</v>
      </c>
      <c r="J31" s="7" t="n">
        <v>27</v>
      </c>
      <c r="K31" s="7" t="n">
        <v>3</v>
      </c>
      <c r="L31" s="7" t="inlineStr">
        <is>
          <t>女性</t>
        </is>
      </c>
      <c r="M31" s="7" t="n">
        <v>53</v>
      </c>
      <c r="N31" s="8" t="inlineStr">
        <is>
          <t>満足していない</t>
        </is>
      </c>
    </row>
    <row r="32">
      <c r="B32" s="2" t="inlineStr">
        <is>
          <t>(2)</t>
        </is>
      </c>
      <c r="C32" s="14" t="str">
        <f>"CHISQ.TESTで求めたP値は"&amp;TEXT(C27,"0.0000")&amp;"で、0.05"&amp;IF(C27&lt;=0.05,"以下である。","より大きい。")</f>
        <v>CHISQ.TESTで求めたP値は0.0202で、0.05以下である。</v>
      </c>
      <c r="J32" s="7" t="n">
        <v>28</v>
      </c>
      <c r="K32" s="7" t="n">
        <v>2</v>
      </c>
      <c r="L32" s="7" t="inlineStr">
        <is>
          <t>男性</t>
        </is>
      </c>
      <c r="M32" s="7" t="n">
        <v>59</v>
      </c>
      <c r="N32" s="8" t="inlineStr">
        <is>
          <t>満足している</t>
        </is>
      </c>
    </row>
    <row r="33">
      <c r="B33" s="2" t="inlineStr">
        <is>
          <t>(3)</t>
        </is>
      </c>
      <c r="C33" s="14" t="str">
        <f>IF(C21&gt;C23,"帰無仮説は否定される。よって、医療施設の看護単位と看護サービスの満足度の間には関連があるといえる。","帰無仮説を否定できない。よって、医療施設の看護単位と看護サービスの満足度の間に関連があるとは言い切れない。")</f>
        <v>帰無仮説は否定される。よって、医療施設の看護単位と看護サービスの満足度の間には関連があるといえる。</v>
      </c>
      <c r="J33" s="7" t="n">
        <v>29</v>
      </c>
      <c r="K33" s="7" t="n">
        <v>3</v>
      </c>
      <c r="L33" s="7" t="inlineStr">
        <is>
          <t>女性</t>
        </is>
      </c>
      <c r="M33" s="7" t="n">
        <v>49</v>
      </c>
      <c r="N33" s="8" t="inlineStr">
        <is>
          <t>満足していない</t>
        </is>
      </c>
    </row>
    <row r="34">
      <c r="J34" s="7" t="n">
        <v>30</v>
      </c>
      <c r="K34" s="7" t="n">
        <v>1</v>
      </c>
      <c r="L34" s="7" t="inlineStr">
        <is>
          <t>男性</t>
        </is>
      </c>
      <c r="M34" s="7" t="n">
        <v>39</v>
      </c>
      <c r="N34" s="8" t="inlineStr">
        <is>
          <t>満足している</t>
        </is>
      </c>
    </row>
    <row r="35">
      <c r="J35" s="7" t="n">
        <v>31</v>
      </c>
      <c r="K35" s="7" t="n">
        <v>3</v>
      </c>
      <c r="L35" s="7" t="inlineStr">
        <is>
          <t>男性</t>
        </is>
      </c>
      <c r="M35" s="7" t="n">
        <v>65</v>
      </c>
      <c r="N35" s="8" t="inlineStr">
        <is>
          <t>満足していない</t>
        </is>
      </c>
    </row>
    <row r="36">
      <c r="J36" s="7" t="n">
        <v>32</v>
      </c>
      <c r="K36" s="7" t="n">
        <v>2</v>
      </c>
      <c r="L36" s="7" t="inlineStr">
        <is>
          <t>男性</t>
        </is>
      </c>
      <c r="M36" s="7" t="n">
        <v>31</v>
      </c>
      <c r="N36" s="8" t="inlineStr">
        <is>
          <t>満足していない</t>
        </is>
      </c>
    </row>
    <row r="37">
      <c r="J37" s="7" t="n">
        <v>33</v>
      </c>
      <c r="K37" s="7" t="n">
        <v>2</v>
      </c>
      <c r="L37" s="7" t="inlineStr">
        <is>
          <t>女性</t>
        </is>
      </c>
      <c r="M37" s="7" t="n">
        <v>68</v>
      </c>
      <c r="N37" s="8" t="inlineStr">
        <is>
          <t>満足していない</t>
        </is>
      </c>
    </row>
    <row r="38">
      <c r="J38" s="7" t="n">
        <v>34</v>
      </c>
      <c r="K38" s="7" t="n">
        <v>3</v>
      </c>
      <c r="L38" s="7" t="inlineStr">
        <is>
          <t>女性</t>
        </is>
      </c>
      <c r="M38" s="7" t="n">
        <v>38</v>
      </c>
      <c r="N38" s="8" t="inlineStr">
        <is>
          <t>満足していない</t>
        </is>
      </c>
    </row>
    <row r="39">
      <c r="J39" s="7" t="n">
        <v>35</v>
      </c>
      <c r="K39" s="7" t="n">
        <v>1</v>
      </c>
      <c r="L39" s="7" t="inlineStr">
        <is>
          <t>男性</t>
        </is>
      </c>
      <c r="M39" s="7" t="n">
        <v>58</v>
      </c>
      <c r="N39" s="8" t="inlineStr">
        <is>
          <t>満足している</t>
        </is>
      </c>
    </row>
    <row r="40">
      <c r="J40" s="7" t="n">
        <v>36</v>
      </c>
      <c r="K40" s="7" t="n">
        <v>2</v>
      </c>
      <c r="L40" s="7" t="inlineStr">
        <is>
          <t>女性</t>
        </is>
      </c>
      <c r="M40" s="7" t="n">
        <v>39</v>
      </c>
      <c r="N40" s="8" t="inlineStr">
        <is>
          <t>満足していない</t>
        </is>
      </c>
    </row>
    <row r="41">
      <c r="J41" s="7" t="n">
        <v>37</v>
      </c>
      <c r="K41" s="7" t="n">
        <v>3</v>
      </c>
      <c r="L41" s="7" t="inlineStr">
        <is>
          <t>女性</t>
        </is>
      </c>
      <c r="M41" s="7" t="n">
        <v>34</v>
      </c>
      <c r="N41" s="8" t="inlineStr">
        <is>
          <t>満足している</t>
        </is>
      </c>
    </row>
    <row r="42">
      <c r="J42" s="7" t="n">
        <v>38</v>
      </c>
      <c r="K42" s="7" t="n">
        <v>2</v>
      </c>
      <c r="L42" s="7" t="inlineStr">
        <is>
          <t>女性</t>
        </is>
      </c>
      <c r="M42" s="7" t="n">
        <v>60</v>
      </c>
      <c r="N42" s="8" t="inlineStr">
        <is>
          <t>満足している</t>
        </is>
      </c>
    </row>
    <row r="43">
      <c r="J43" s="7" t="n">
        <v>39</v>
      </c>
      <c r="K43" s="7" t="n">
        <v>2</v>
      </c>
      <c r="L43" s="7" t="inlineStr">
        <is>
          <t>女性</t>
        </is>
      </c>
      <c r="M43" s="7" t="n">
        <v>40</v>
      </c>
      <c r="N43" s="8" t="inlineStr">
        <is>
          <t>満足している</t>
        </is>
      </c>
    </row>
    <row r="44">
      <c r="J44" s="7" t="n">
        <v>40</v>
      </c>
      <c r="K44" s="7" t="n">
        <v>1</v>
      </c>
      <c r="L44" s="7" t="inlineStr">
        <is>
          <t>男性</t>
        </is>
      </c>
      <c r="M44" s="7" t="n">
        <v>48</v>
      </c>
      <c r="N44" s="8" t="inlineStr">
        <is>
          <t>満足している</t>
        </is>
      </c>
    </row>
    <row r="45">
      <c r="J45" s="7" t="n">
        <v>41</v>
      </c>
      <c r="K45" s="7" t="n">
        <v>1</v>
      </c>
      <c r="L45" s="7" t="inlineStr">
        <is>
          <t>女性</t>
        </is>
      </c>
      <c r="M45" s="7" t="n">
        <v>61</v>
      </c>
      <c r="N45" s="8" t="inlineStr">
        <is>
          <t>満足している</t>
        </is>
      </c>
    </row>
    <row r="46">
      <c r="J46" s="7" t="n">
        <v>42</v>
      </c>
      <c r="K46" s="7" t="n">
        <v>1</v>
      </c>
      <c r="L46" s="7" t="inlineStr">
        <is>
          <t>男性</t>
        </is>
      </c>
      <c r="M46" s="7" t="n">
        <v>56</v>
      </c>
      <c r="N46" s="8" t="inlineStr">
        <is>
          <t>満足していない</t>
        </is>
      </c>
    </row>
    <row r="47">
      <c r="J47" s="7" t="n">
        <v>43</v>
      </c>
      <c r="K47" s="7" t="n">
        <v>2</v>
      </c>
      <c r="L47" s="7" t="inlineStr">
        <is>
          <t>男性</t>
        </is>
      </c>
      <c r="M47" s="7" t="n">
        <v>68</v>
      </c>
      <c r="N47" s="8" t="inlineStr">
        <is>
          <t>満足している</t>
        </is>
      </c>
    </row>
    <row r="48">
      <c r="J48" s="7" t="n">
        <v>44</v>
      </c>
      <c r="K48" s="7" t="n">
        <v>1</v>
      </c>
      <c r="L48" s="7" t="inlineStr">
        <is>
          <t>男性</t>
        </is>
      </c>
      <c r="M48" s="7" t="n">
        <v>45</v>
      </c>
      <c r="N48" s="8" t="inlineStr">
        <is>
          <t>満足している</t>
        </is>
      </c>
    </row>
    <row r="49">
      <c r="J49" s="7" t="n">
        <v>45</v>
      </c>
      <c r="K49" s="7" t="n">
        <v>3</v>
      </c>
      <c r="L49" s="7" t="inlineStr">
        <is>
          <t>女性</t>
        </is>
      </c>
      <c r="M49" s="7" t="n">
        <v>64</v>
      </c>
      <c r="N49" s="8" t="inlineStr">
        <is>
          <t>満足していない</t>
        </is>
      </c>
    </row>
    <row r="50">
      <c r="J50" s="7" t="n">
        <v>46</v>
      </c>
      <c r="K50" s="7" t="n">
        <v>1</v>
      </c>
      <c r="L50" s="7" t="inlineStr">
        <is>
          <t>男性</t>
        </is>
      </c>
      <c r="M50" s="7" t="n">
        <v>69</v>
      </c>
      <c r="N50" s="8" t="inlineStr">
        <is>
          <t>満足していない</t>
        </is>
      </c>
    </row>
    <row r="51">
      <c r="J51" s="7" t="n">
        <v>47</v>
      </c>
      <c r="K51" s="7" t="n">
        <v>3</v>
      </c>
      <c r="L51" s="7" t="inlineStr">
        <is>
          <t>男性</t>
        </is>
      </c>
      <c r="M51" s="7" t="n">
        <v>62</v>
      </c>
      <c r="N51" s="8" t="inlineStr">
        <is>
          <t>満足していない</t>
        </is>
      </c>
    </row>
    <row r="52">
      <c r="J52" s="7" t="n">
        <v>48</v>
      </c>
      <c r="K52" s="7" t="n">
        <v>2</v>
      </c>
      <c r="L52" s="7" t="inlineStr">
        <is>
          <t>女性</t>
        </is>
      </c>
      <c r="M52" s="7" t="n">
        <v>51</v>
      </c>
      <c r="N52" s="8" t="inlineStr">
        <is>
          <t>満足している</t>
        </is>
      </c>
    </row>
    <row r="53">
      <c r="J53" s="7" t="n">
        <v>49</v>
      </c>
      <c r="K53" s="7" t="n">
        <v>1</v>
      </c>
      <c r="L53" s="7" t="inlineStr">
        <is>
          <t>男性</t>
        </is>
      </c>
      <c r="M53" s="7" t="n">
        <v>56</v>
      </c>
      <c r="N53" s="8" t="inlineStr">
        <is>
          <t>満足している</t>
        </is>
      </c>
    </row>
    <row r="54">
      <c r="J54" s="7" t="n">
        <v>50</v>
      </c>
      <c r="K54" s="7" t="n">
        <v>3</v>
      </c>
      <c r="L54" s="7" t="inlineStr">
        <is>
          <t>女性</t>
        </is>
      </c>
      <c r="M54" s="7" t="n">
        <v>63</v>
      </c>
      <c r="N54" s="8" t="inlineStr">
        <is>
          <t>満足していない</t>
        </is>
      </c>
    </row>
    <row r="55">
      <c r="J55" s="7" t="n">
        <v>51</v>
      </c>
      <c r="K55" s="7" t="n">
        <v>2</v>
      </c>
      <c r="L55" s="7" t="inlineStr">
        <is>
          <t>男性</t>
        </is>
      </c>
      <c r="M55" s="7" t="n">
        <v>51</v>
      </c>
      <c r="N55" s="8" t="inlineStr">
        <is>
          <t>満足している</t>
        </is>
      </c>
    </row>
    <row r="56">
      <c r="J56" s="7" t="n">
        <v>52</v>
      </c>
      <c r="K56" s="7" t="n">
        <v>1</v>
      </c>
      <c r="L56" s="7" t="inlineStr">
        <is>
          <t>男性</t>
        </is>
      </c>
      <c r="M56" s="7" t="n">
        <v>45</v>
      </c>
      <c r="N56" s="8" t="inlineStr">
        <is>
          <t>満足している</t>
        </is>
      </c>
    </row>
    <row r="57">
      <c r="J57" s="7" t="n">
        <v>53</v>
      </c>
      <c r="K57" s="7" t="n">
        <v>2</v>
      </c>
      <c r="L57" s="7" t="inlineStr">
        <is>
          <t>男性</t>
        </is>
      </c>
      <c r="M57" s="7" t="n">
        <v>34</v>
      </c>
      <c r="N57" s="8" t="inlineStr">
        <is>
          <t>満足していない</t>
        </is>
      </c>
    </row>
    <row r="58">
      <c r="J58" s="7" t="n">
        <v>54</v>
      </c>
      <c r="K58" s="7" t="n">
        <v>3</v>
      </c>
      <c r="L58" s="7" t="inlineStr">
        <is>
          <t>男性</t>
        </is>
      </c>
      <c r="M58" s="7" t="n">
        <v>49</v>
      </c>
      <c r="N58" s="8" t="inlineStr">
        <is>
          <t>満足している</t>
        </is>
      </c>
    </row>
    <row r="60">
      <c r="J60" s="9" t="inlineStr">
        <is>
          <t>※タイプ1＝20床～29床、タイプ2＝30床～39床、タイプ3＝40床～49床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2026-10-27T03:34:40Z</dcterms:created>
  <dcterms:modified xsi:type="dcterms:W3CDTF">2026-10-27T03:34:40Z</dcterms:modified>
</cp:coreProperties>
</file>