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散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name val="游ゴシック"/>
      <b val="1"/>
      <sz val="12"/>
    </font>
    <font>
      <name val="游ゴシック"/>
      <b val="1"/>
      <sz val="11"/>
    </font>
    <font>
      <name val="游ゴシック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2" borderId="1" pivotButton="0" quotePrefix="0" xfId="0"/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B1" s="1" t="inlineStr">
        <is>
          <t>第3回 小課題2　食事形態とキッチン面積（1要因の分散分析）</t>
        </is>
      </c>
    </row>
    <row r="2">
      <c r="B2" s="2" t="inlineStr">
        <is>
          <t>◆元データ（表3.1.1 グループにおける食事形態とキッチン面積の差）</t>
        </is>
      </c>
    </row>
    <row r="3" ht="36" customHeight="1">
      <c r="B3" s="3" t="inlineStr">
        <is>
          <t>被験者No.</t>
        </is>
      </c>
      <c r="C3" s="4" t="inlineStr">
        <is>
          <t>自炊型
(㎡)</t>
        </is>
      </c>
      <c r="D3" s="4" t="inlineStr">
        <is>
          <t>コンビニ型
(㎡)</t>
        </is>
      </c>
      <c r="E3" s="4" t="inlineStr">
        <is>
          <t>外食型
(㎡)</t>
        </is>
      </c>
    </row>
    <row r="4">
      <c r="B4" s="5" t="n">
        <v>1</v>
      </c>
      <c r="C4" s="6" t="n">
        <v>4.26</v>
      </c>
      <c r="D4" s="6" t="n">
        <v>3.94</v>
      </c>
      <c r="E4" s="6" t="n">
        <v>3.95</v>
      </c>
    </row>
    <row r="5">
      <c r="B5" s="5" t="n">
        <v>2</v>
      </c>
      <c r="C5" s="6" t="n">
        <v>7.24</v>
      </c>
      <c r="D5" s="6" t="n">
        <v>5.31</v>
      </c>
      <c r="E5" s="6" t="n">
        <v>2.45</v>
      </c>
    </row>
    <row r="6">
      <c r="B6" s="5" t="n">
        <v>3</v>
      </c>
      <c r="C6" s="6" t="n">
        <v>5.27</v>
      </c>
      <c r="D6" s="6" t="n">
        <v>4.32</v>
      </c>
      <c r="E6" s="6" t="n">
        <v>3.05</v>
      </c>
    </row>
    <row r="7">
      <c r="B7" s="5" t="n">
        <v>4</v>
      </c>
      <c r="C7" s="6" t="n">
        <v>6.25</v>
      </c>
      <c r="D7" s="6" t="n">
        <v>4.33</v>
      </c>
      <c r="E7" s="6" t="n">
        <v>3.52</v>
      </c>
    </row>
    <row r="8">
      <c r="B8" s="5" t="n">
        <v>5</v>
      </c>
      <c r="C8" s="6" t="n">
        <v>4.26</v>
      </c>
      <c r="D8" s="6" t="n">
        <v>3.31</v>
      </c>
      <c r="E8" s="6" t="n">
        <v>4.16</v>
      </c>
    </row>
    <row r="9">
      <c r="B9" s="5" t="n">
        <v>6</v>
      </c>
      <c r="C9" s="6" t="n">
        <v>6.12</v>
      </c>
      <c r="D9" s="6" t="n">
        <v>3.05</v>
      </c>
      <c r="E9" s="6" t="n">
        <v>3.18</v>
      </c>
    </row>
    <row r="10">
      <c r="B10" s="5" t="n">
        <v>7</v>
      </c>
      <c r="C10" s="6" t="n">
        <v>5.53</v>
      </c>
      <c r="D10" s="6" t="n">
        <v>6.95</v>
      </c>
      <c r="E10" s="6" t="n">
        <v>3.89</v>
      </c>
    </row>
    <row r="11">
      <c r="B11" s="5" t="n">
        <v>8</v>
      </c>
      <c r="C11" s="6" t="n">
        <v>6.34</v>
      </c>
      <c r="D11" s="6" t="n">
        <v>5.58</v>
      </c>
      <c r="E11" s="6" t="n">
        <v>3.37</v>
      </c>
    </row>
    <row r="12">
      <c r="B12" s="5" t="n">
        <v>9</v>
      </c>
      <c r="C12" s="6" t="n">
        <v>3.41</v>
      </c>
      <c r="D12" s="6" t="n">
        <v>4.72</v>
      </c>
      <c r="E12" s="6" t="n">
        <v>3.69</v>
      </c>
    </row>
    <row r="13">
      <c r="B13" s="5" t="n">
        <v>10</v>
      </c>
      <c r="C13" s="6" t="n">
        <v>5.74</v>
      </c>
      <c r="D13" s="6" t="n">
        <v>4.28</v>
      </c>
      <c r="E13" s="6" t="n">
        <v>4.05</v>
      </c>
    </row>
    <row r="15">
      <c r="B15" s="7" t="inlineStr">
        <is>
          <t>標本平均</t>
        </is>
      </c>
      <c r="C15" s="8">
        <f>AVERAGE(C4:C13)</f>
        <v>5.442</v>
      </c>
      <c r="D15" s="8">
        <f>AVERAGE(D4:D13)</f>
        <v>4.579</v>
      </c>
      <c r="E15" s="8">
        <f>AVERAGE(E4:E13)</f>
        <v>3.531</v>
      </c>
    </row>
    <row r="16">
      <c r="B16" s="7" t="inlineStr">
        <is>
          <t>標本数</t>
        </is>
      </c>
      <c r="C16" s="9">
        <f>COUNT(C4:C13)</f>
        <v>10</v>
      </c>
      <c r="D16" s="9">
        <f>COUNT(D4:D13)</f>
        <v>10</v>
      </c>
      <c r="E16" s="9">
        <f>COUNT(E4:E13)</f>
        <v>10</v>
      </c>
    </row>
    <row r="17">
      <c r="B17" s="7" t="inlineStr">
        <is>
          <t>群内の変動（偏差平方和）</t>
        </is>
      </c>
      <c r="C17" s="8">
        <f>DEVSQ(C4:C13)</f>
        <v>12.20116</v>
      </c>
      <c r="D17" s="8">
        <f>DEVSQ(D4:D13)</f>
        <v>11.75289</v>
      </c>
      <c r="E17" s="8">
        <f>DEVSQ(E4:E13)</f>
        <v>2.54389</v>
      </c>
    </row>
    <row r="18">
      <c r="B18" s="7" t="inlineStr">
        <is>
          <t>（群平均－全体平均）²×標本数</t>
        </is>
      </c>
      <c r="C18" s="8">
        <f>C16*(C15-$C$20)^2</f>
        <v>8.55008444444443</v>
      </c>
      <c r="D18" s="8">
        <f>D16*(D15-$C$20)^2</f>
        <v>0.0380277777777765</v>
      </c>
      <c r="E18" s="8">
        <f>E16*(E15-$C$20)^2</f>
        <v>9.72853444444446</v>
      </c>
    </row>
    <row r="20">
      <c r="B20" s="7" t="inlineStr">
        <is>
          <t>全体の平均</t>
        </is>
      </c>
      <c r="C20" s="8">
        <f>AVERAGE(C4:E13)</f>
        <v>4.51733333333333</v>
      </c>
    </row>
    <row r="21">
      <c r="B21" s="7" t="inlineStr">
        <is>
          <t>グループ数</t>
        </is>
      </c>
      <c r="C21" s="9">
        <f>COUNT(C15:E15)</f>
        <v>3</v>
      </c>
    </row>
    <row r="22">
      <c r="B22" s="7" t="inlineStr">
        <is>
          <t>全体の標本数</t>
        </is>
      </c>
      <c r="C22" s="9">
        <f>COUNT(C4:E13)</f>
        <v>30</v>
      </c>
    </row>
    <row r="24">
      <c r="B24" s="2" t="inlineStr">
        <is>
          <t>(1) ◆分散分析表</t>
        </is>
      </c>
    </row>
    <row r="25">
      <c r="B25" s="3" t="inlineStr">
        <is>
          <t>変動要因</t>
        </is>
      </c>
      <c r="C25" s="3" t="inlineStr">
        <is>
          <t>変動</t>
        </is>
      </c>
      <c r="D25" s="3" t="inlineStr">
        <is>
          <t>自由度</t>
        </is>
      </c>
      <c r="E25" s="3" t="inlineStr">
        <is>
          <t>分散（不偏分散）</t>
        </is>
      </c>
      <c r="F25" s="3" t="inlineStr">
        <is>
          <t>Fの値</t>
        </is>
      </c>
      <c r="G25" s="3" t="inlineStr">
        <is>
          <t>P値</t>
        </is>
      </c>
      <c r="H25" s="3" t="inlineStr">
        <is>
          <t>確率95%のF</t>
        </is>
      </c>
    </row>
    <row r="26">
      <c r="B26" s="7" t="inlineStr">
        <is>
          <t>グループ間</t>
        </is>
      </c>
      <c r="C26" s="8">
        <f>SUM(C18:E18)</f>
        <v>18.3166466666667</v>
      </c>
      <c r="D26" s="9">
        <f>C21-1</f>
        <v>2</v>
      </c>
      <c r="E26" s="8">
        <f>C26/D26</f>
        <v>9.15832333333333</v>
      </c>
      <c r="F26" s="10">
        <f>E26/E27</f>
        <v>9.33184730586604</v>
      </c>
      <c r="G26" s="11">
        <f>_xlfn.F.DIST.RT(F26,D26,D27)</f>
        <v>0.000830236231147376</v>
      </c>
      <c r="H26" s="10">
        <f>_xlfn.F.INV.RT(0.05,D26,D27)</f>
        <v>3.3541308285292</v>
      </c>
    </row>
    <row r="27">
      <c r="B27" s="7" t="inlineStr">
        <is>
          <t>グループ内</t>
        </is>
      </c>
      <c r="C27" s="8">
        <f>SUM(C17:E17)</f>
        <v>26.49794</v>
      </c>
      <c r="D27" s="9">
        <f>C22-C21</f>
        <v>27</v>
      </c>
      <c r="E27" s="8">
        <f>C27/D27</f>
        <v>0.981405185185185</v>
      </c>
      <c r="F27" s="8" t="n"/>
      <c r="G27" s="11" t="n"/>
      <c r="H27" s="8" t="n"/>
    </row>
    <row r="28">
      <c r="B28" s="7" t="inlineStr">
        <is>
          <t>合計</t>
        </is>
      </c>
      <c r="C28" s="8">
        <f>C26+C27</f>
        <v>44.8145866666667</v>
      </c>
      <c r="D28" s="9">
        <f>D26+D27</f>
        <v>29</v>
      </c>
      <c r="E28" s="8" t="n"/>
      <c r="F28" s="8" t="n"/>
      <c r="G28" s="11" t="n"/>
      <c r="H28" s="8" t="n"/>
    </row>
    <row r="30">
      <c r="B30" s="7" t="inlineStr">
        <is>
          <t>判定</t>
        </is>
      </c>
      <c r="C30" s="12" t="str">
        <f>IF(F26&gt;H26,"Fの値＞確率95%のF → 帰無仮説を否定","Fの値≦確率95%のF → 帰無仮説を否定できない")</f>
        <v>Fの値＞確率95%のF → 帰無仮説を否定</v>
      </c>
    </row>
    <row r="31">
      <c r="B31" s="7" t="inlineStr">
        <is>
          <t>（参考）合計の変動の確認</t>
        </is>
      </c>
      <c r="C31" s="8">
        <f>DEVSQ(C4:E13)</f>
        <v>44.8145866666667</v>
      </c>
    </row>
    <row r="33">
      <c r="B33" s="2" t="inlineStr">
        <is>
          <t>◆解答</t>
        </is>
      </c>
    </row>
    <row r="34">
      <c r="B34" s="2" t="inlineStr">
        <is>
          <t>(1)</t>
        </is>
      </c>
      <c r="C34" s="13" t="str">
        <f>"Fの値は"&amp;TEXT(F26,"0.000")&amp;"、確率95%のF（自由度"&amp;D26&amp;","&amp;D27&amp;"）は"&amp;TEXT(H26,"0.000")&amp;"。Fの値は確率95%のF"&amp;IF(F26&gt;H26,"より大きい。","以下である。")&amp;"（P値＝"&amp;TEXT(G26,"0.0000")&amp;"）"</f>
        <v>Fの値は9.332、確率95%のF（自由度2,27）は3.354。Fの値は確率95%のFより大きい。（P値＝0.0008）</v>
      </c>
    </row>
    <row r="35">
      <c r="B35" s="2" t="inlineStr">
        <is>
          <t>(2)</t>
        </is>
      </c>
      <c r="C35" s="13" t="str">
        <f>IF(F26&gt;H26,"帰無仮説は否定される。よって、自炊型、コンビニ型、外食型の3つのグループのキッチン面積は、少なくとも1つの組み合わせに差があるといえる。","帰無仮説を否定できない。よって、自炊型、コンビニ型、外食型の3つのグループのキッチン面積に差があるとはいえない。")</f>
        <v>帰無仮説は否定される。よって、自炊型、コンビニ型、外食型の3つのグループのキッチン面積は、少なくとも1つの組み合わせに差があるといえる。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2026-10-27T03:35:09Z</dcterms:created>
  <dcterms:modified xsi:type="dcterms:W3CDTF">2026-10-27T03:35:09Z</dcterms:modified>
</cp:coreProperties>
</file>