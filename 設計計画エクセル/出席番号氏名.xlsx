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0" yWindow="-7425" windowWidth="15450" windowHeight="152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_ "/>
    <numFmt numFmtId="165" formatCode="0.00_ "/>
    <numFmt numFmtId="166" formatCode="0_ "/>
    <numFmt numFmtId="167" formatCode="0.000_ "/>
  </numFmts>
  <fonts count="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164" fontId="0" fillId="0" borderId="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2" borderId="3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0" fontId="2" fillId="2" borderId="1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6" fontId="2" fillId="0" borderId="6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7" fontId="2" fillId="0" borderId="13" applyAlignment="1" pivotButton="0" quotePrefix="0" xfId="0">
      <alignment vertical="center"/>
    </xf>
    <xf numFmtId="167" fontId="2" fillId="0" borderId="10" applyAlignment="1" pivotButton="0" quotePrefix="0" xfId="0">
      <alignment vertical="center"/>
    </xf>
    <xf numFmtId="167" fontId="2" fillId="0" borderId="6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2" fillId="0" borderId="14" applyAlignment="1" pivotButton="0" quotePrefix="0" xfId="0">
      <alignment vertical="center"/>
    </xf>
    <xf numFmtId="0" fontId="0" fillId="0" borderId="0" pivotButton="0" quotePrefix="0" xfId="0"/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6" fontId="2" fillId="0" borderId="6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7" fontId="2" fillId="0" borderId="13" applyAlignment="1" pivotButton="0" quotePrefix="0" xfId="0">
      <alignment vertical="center"/>
    </xf>
    <xf numFmtId="167" fontId="2" fillId="0" borderId="10" applyAlignment="1" pivotButton="0" quotePrefix="0" xfId="0">
      <alignment vertical="center"/>
    </xf>
    <xf numFmtId="167" fontId="2" fillId="0" borderId="6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2" fillId="0" borderId="14" applyAlignment="1" pivotButton="0" quotePrefix="0" xfId="0">
      <alignment vertical="center"/>
    </xf>
    <xf numFmtId="0" fontId="2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30"/>
  <sheetViews>
    <sheetView tabSelected="1" workbookViewId="0">
      <selection activeCell="I6" sqref="I6"/>
    </sheetView>
  </sheetViews>
  <sheetFormatPr baseColWidth="8" defaultRowHeight="18"/>
  <cols>
    <col width="5.59765625" customWidth="1" style="24" min="1" max="1"/>
    <col width="18" customWidth="1" style="24" min="2" max="2"/>
    <col width="12.59765625" customWidth="1" style="24" min="3" max="3"/>
    <col width="5.59765625" customWidth="1" style="24" min="4" max="4"/>
    <col width="14.59765625" customWidth="1" style="24" min="5" max="5"/>
    <col width="12.59765625" customWidth="1" style="24" min="6" max="6"/>
    <col width="5.59765625" customWidth="1" style="24" min="7" max="7"/>
    <col width="22" customWidth="1" style="24" min="8" max="8"/>
  </cols>
  <sheetData>
    <row r="1" ht="22.8" customHeight="1" s="24" thickBot="1">
      <c r="B1" s="1" t="inlineStr">
        <is>
          <t>グループ1 自炊型</t>
        </is>
      </c>
      <c r="E1" s="1" t="inlineStr">
        <is>
          <t>グループ2 コンビニ型</t>
        </is>
      </c>
    </row>
    <row r="2" ht="18.6" customHeight="1" s="24" thickBot="1">
      <c r="B2" s="7" t="inlineStr">
        <is>
          <t>被験者No.</t>
        </is>
      </c>
      <c r="C2" s="3" t="inlineStr">
        <is>
          <t>キッチン面積(㎡)</t>
        </is>
      </c>
      <c r="E2" s="7" t="inlineStr">
        <is>
          <t>被験者No.</t>
        </is>
      </c>
      <c r="F2" s="3" t="inlineStr">
        <is>
          <t>キッチン面積(㎡)</t>
        </is>
      </c>
    </row>
    <row r="3" ht="18.6" customHeight="1" s="24" thickBot="1">
      <c r="B3" s="8" t="n">
        <v>1</v>
      </c>
      <c r="C3" s="25" t="n">
        <v>4.26</v>
      </c>
      <c r="E3" s="8" t="n">
        <v>1</v>
      </c>
      <c r="F3" s="25" t="n">
        <v>3.94</v>
      </c>
    </row>
    <row r="4" ht="18.6" customHeight="1" s="24" thickBot="1">
      <c r="B4" s="9" t="n">
        <v>2</v>
      </c>
      <c r="C4" s="26" t="n">
        <v>7.24</v>
      </c>
      <c r="E4" s="9" t="n">
        <v>2</v>
      </c>
      <c r="F4" s="26" t="n">
        <v>5.31</v>
      </c>
      <c r="H4" s="7" t="inlineStr">
        <is>
          <t>(1) F検定</t>
        </is>
      </c>
    </row>
    <row r="5" ht="18.6" customHeight="1" s="24" thickBot="1">
      <c r="B5" s="9" t="n">
        <v>3</v>
      </c>
      <c r="C5" s="26" t="n">
        <v>5.27</v>
      </c>
      <c r="E5" s="9" t="n">
        <v>3</v>
      </c>
      <c r="F5" s="26" t="n">
        <v>4.32</v>
      </c>
      <c r="H5" s="11">
        <f>_xlfn.F.TEST(C3:C12,F3:F12)</f>
        <v/>
      </c>
    </row>
    <row r="6" ht="18.6" customHeight="1" s="24" thickBot="1">
      <c r="B6" s="9" t="n">
        <v>4</v>
      </c>
      <c r="C6" s="26" t="n">
        <v>6.25</v>
      </c>
      <c r="E6" s="9" t="n">
        <v>4</v>
      </c>
      <c r="F6" s="26" t="n">
        <v>4.33</v>
      </c>
      <c r="H6" s="11">
        <f>IF(H5&gt;0.05,"等分散","不等分散")</f>
        <v/>
      </c>
    </row>
    <row r="7" ht="18.6" customHeight="1" s="24" thickBot="1">
      <c r="B7" s="9" t="n">
        <v>5</v>
      </c>
      <c r="C7" s="26" t="n">
        <v>4.26</v>
      </c>
      <c r="E7" s="9" t="n">
        <v>5</v>
      </c>
      <c r="F7" s="26" t="n">
        <v>3.31</v>
      </c>
      <c r="H7" s="7" t="inlineStr">
        <is>
          <t>(3) t検定(P値)</t>
        </is>
      </c>
    </row>
    <row r="8" ht="18.6" customHeight="1" s="24" thickBot="1">
      <c r="B8" s="9" t="n">
        <v>6</v>
      </c>
      <c r="C8" s="26" t="n">
        <v>6.12</v>
      </c>
      <c r="E8" s="9" t="n">
        <v>6</v>
      </c>
      <c r="F8" s="26" t="n">
        <v>3.05</v>
      </c>
      <c r="H8" s="11">
        <f>_xlfn.T.TEST(C3:C12,F3:F12,2,2)</f>
        <v/>
      </c>
    </row>
    <row r="9">
      <c r="B9" s="9" t="n">
        <v>7</v>
      </c>
      <c r="C9" s="26" t="n">
        <v>5.53</v>
      </c>
      <c r="E9" s="9" t="n">
        <v>7</v>
      </c>
      <c r="F9" s="26" t="n">
        <v>6.95</v>
      </c>
      <c r="H9" s="11">
        <f>IF(H8&lt;=0.05,"差がある","差があるとは言い切れない")</f>
        <v/>
      </c>
    </row>
    <row r="10" ht="18.6" customHeight="1" s="24" thickBot="1">
      <c r="B10" s="9" t="n">
        <v>8</v>
      </c>
      <c r="C10" s="26" t="n">
        <v>6.34</v>
      </c>
      <c r="E10" s="9" t="n">
        <v>8</v>
      </c>
      <c r="F10" s="26" t="n">
        <v>5.58</v>
      </c>
    </row>
    <row r="11" ht="18.6" customHeight="1" s="24">
      <c r="B11" s="9" t="n">
        <v>9</v>
      </c>
      <c r="C11" s="26" t="n">
        <v>3.41</v>
      </c>
      <c r="E11" s="9" t="n">
        <v>9</v>
      </c>
      <c r="F11" s="26" t="n">
        <v>4.72</v>
      </c>
    </row>
    <row r="12" ht="18.6" customHeight="1" s="24" thickBot="1">
      <c r="B12" s="2" t="n">
        <v>10</v>
      </c>
      <c r="C12" s="27" t="n">
        <v>5.74</v>
      </c>
      <c r="E12" s="2" t="n">
        <v>10</v>
      </c>
      <c r="F12" s="27" t="n">
        <v>4.28</v>
      </c>
    </row>
    <row r="13" ht="18.6" customHeight="1" s="24" thickBot="1"/>
    <row r="14">
      <c r="B14" s="14" t="inlineStr">
        <is>
          <t>標本平均</t>
        </is>
      </c>
      <c r="C14" s="28">
        <f>AVERAGE(C3:C12)</f>
        <v/>
      </c>
      <c r="E14" s="14" t="inlineStr">
        <is>
          <t>標本平均</t>
        </is>
      </c>
      <c r="F14" s="28">
        <f>AVERAGE(F3:F12)</f>
        <v/>
      </c>
    </row>
    <row r="15">
      <c r="B15" s="9" t="inlineStr">
        <is>
          <t>標本数</t>
        </is>
      </c>
      <c r="C15" s="29">
        <f>COUNT(C3:C12)</f>
        <v/>
      </c>
      <c r="E15" s="9" t="inlineStr">
        <is>
          <t>標本数</t>
        </is>
      </c>
      <c r="F15" s="29">
        <f>COUNT(F3:F12)</f>
        <v/>
      </c>
    </row>
    <row r="16" ht="18.6" customHeight="1" s="24" thickBot="1">
      <c r="B16" s="2" t="inlineStr">
        <is>
          <t>標本分散</t>
        </is>
      </c>
      <c r="C16" s="30">
        <f>_xlfn.VAR.P(C3:C12)</f>
        <v/>
      </c>
      <c r="E16" s="2" t="inlineStr">
        <is>
          <t>標本分散</t>
        </is>
      </c>
      <c r="F16" s="30">
        <f>_xlfn.VAR.P(F3:F12)</f>
        <v/>
      </c>
    </row>
    <row r="18" ht="18.6" customHeight="1" s="24" thickBot="1">
      <c r="B18" s="12" t="inlineStr">
        <is>
          <t>(2) ◆t検定(等分散)</t>
        </is>
      </c>
    </row>
    <row r="19" ht="18.6" customHeight="1" s="24" thickBot="1">
      <c r="B19" s="15" t="inlineStr">
        <is>
          <t>推定母分散</t>
        </is>
      </c>
      <c r="C19" s="31">
        <f>(C16*C15+F16*F15)/(C15+F15-2)</f>
        <v/>
      </c>
    </row>
    <row r="20">
      <c r="B20" s="14" t="inlineStr">
        <is>
          <t>（tの分子）</t>
        </is>
      </c>
      <c r="C20" s="32">
        <f>C14-F14</f>
        <v/>
      </c>
    </row>
    <row r="21">
      <c r="B21" s="9" t="inlineStr">
        <is>
          <t>（tの分母）</t>
        </is>
      </c>
      <c r="C21" s="33">
        <f>SQRT(C19*(1/C15+1/F15))</f>
        <v/>
      </c>
    </row>
    <row r="22" ht="18.6" customHeight="1" s="24" thickBot="1">
      <c r="B22" s="2" t="inlineStr">
        <is>
          <t>tの値</t>
        </is>
      </c>
      <c r="C22" s="34">
        <f>C20/C21</f>
        <v/>
      </c>
    </row>
    <row r="23" ht="18.6" customHeight="1" s="24" thickBot="1">
      <c r="B23" s="16" t="inlineStr">
        <is>
          <t>確率95%のt</t>
        </is>
      </c>
      <c r="C23" s="35">
        <f>_xlfn.T.INV.2T(0.05,C15+F15-2)</f>
        <v/>
      </c>
    </row>
    <row r="24">
      <c r="B24" s="16" t="inlineStr">
        <is>
          <t>判定</t>
        </is>
      </c>
      <c r="C24" s="35">
        <f>IF(ABS(C22)&gt;C23,"|t|&gt;確率95%のt → 差がある","|t|≦確率95%のt → 差があるとは言い切れない")</f>
        <v/>
      </c>
    </row>
    <row r="26">
      <c r="B26" s="36" t="inlineStr">
        <is>
          <t>◆解答</t>
        </is>
      </c>
    </row>
    <row r="27">
      <c r="B27" s="36" t="inlineStr">
        <is>
          <t>(1) F検定</t>
        </is>
      </c>
      <c r="C27" s="36">
        <f>"F.TESTの値は"&amp;TEXT(H5,"0.0000")&amp;"で0.05"&amp;IF(H5&gt;0.05,"より大きいので、等分散と考えられる。","以下なので、不等分散と考えられる。")</f>
        <v/>
      </c>
    </row>
    <row r="28">
      <c r="B28" s="36" t="inlineStr">
        <is>
          <t>(2) t検定(等分散)</t>
        </is>
      </c>
      <c r="C28" s="36">
        <f>"tの値は"&amp;TEXT(C22,"0.000")&amp;"、確率95%のtの値は"&amp;TEXT(C23,"0.000")&amp;"。tの値は確率95%の範囲("&amp;TEXT(-C23,"0.000")&amp;"～"&amp;TEXT(C23,"0.000")&amp;")の"&amp;IF(ABS(C22)&gt;C23,"外側にある。","内側にある。")</f>
        <v/>
      </c>
    </row>
    <row r="29">
      <c r="B29" s="36" t="inlineStr">
        <is>
          <t>(3) tのP値</t>
        </is>
      </c>
      <c r="C29" s="36">
        <f>"T.TESTで求めたP値は"&amp;TEXT(H8,"0.0000")&amp;"で0.05"&amp;IF(H8&lt;=0.05,"以下である。","より大きい。")</f>
        <v/>
      </c>
    </row>
    <row r="30">
      <c r="B30" s="36" t="inlineStr">
        <is>
          <t>(4) 結論</t>
        </is>
      </c>
      <c r="C30" s="36">
        <f>IF(ABS(C22)&gt;C23,"帰無仮説は否定される。よって、自炊型とコンビニ型のキッチン面積には差があるといえる。","帰無仮説を否定できない。よって、自炊型とコンビニ型のキッチン面積に差があるとは言い切れない。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相澤 裕介</dc:creator>
  <dcterms:created xsi:type="dcterms:W3CDTF">2019-03-29T10:39:11Z</dcterms:created>
  <dcterms:modified xsi:type="dcterms:W3CDTF">2026-09-30T01:37:37Z</dcterms:modified>
  <cp:lastModifiedBy>Toshitomo Suzuki</cp:lastModifiedBy>
</cp:coreProperties>
</file>