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-7425" windowWidth="15450" windowHeight="152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_ "/>
    <numFmt numFmtId="165" formatCode="0.00_ "/>
    <numFmt numFmtId="166" formatCode="0_ "/>
    <numFmt numFmtId="167" formatCode="0.000_ "/>
  </numFmts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6" fontId="2" fillId="0" borderId="6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7" fontId="2" fillId="0" borderId="13" applyAlignment="1" pivotButton="0" quotePrefix="0" xfId="0">
      <alignment vertical="center"/>
    </xf>
    <xf numFmtId="167" fontId="2" fillId="0" borderId="10" applyAlignment="1" pivotButton="0" quotePrefix="0" xfId="0">
      <alignment vertical="center"/>
    </xf>
    <xf numFmtId="167" fontId="2" fillId="0" borderId="6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2" fillId="0" borderId="14" applyAlignment="1" pivotButton="0" quotePrefix="0" xfId="0">
      <alignment vertical="center"/>
    </xf>
    <xf numFmtId="0" fontId="0" fillId="0" borderId="0" pivotButton="0" quotePrefix="0" xfId="0"/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6" fontId="2" fillId="0" borderId="6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7" fontId="2" fillId="0" borderId="10" applyAlignment="1" pivotButton="0" quotePrefix="0" xfId="0">
      <alignment vertical="center"/>
    </xf>
    <xf numFmtId="167" fontId="2" fillId="0" borderId="6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2" fillId="0" borderId="14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tabSelected="1" workbookViewId="0">
      <selection activeCell="I6" sqref="I6"/>
    </sheetView>
  </sheetViews>
  <sheetFormatPr baseColWidth="8" defaultRowHeight="18"/>
  <cols>
    <col width="5.59765625" customWidth="1" style="24" min="1" max="1"/>
    <col width="14.59765625" customWidth="1" style="24" min="2" max="2"/>
    <col width="12.59765625" customWidth="1" style="24" min="3" max="3"/>
    <col width="5.59765625" customWidth="1" style="24" min="4" max="4"/>
    <col width="14.59765625" customWidth="1" style="24" min="5" max="5"/>
    <col width="12.59765625" customWidth="1" style="24" min="6" max="6"/>
    <col width="5.59765625" customWidth="1" style="24" min="7" max="7"/>
    <col width="12.59765625" customWidth="1" style="24" min="8" max="8"/>
  </cols>
  <sheetData>
    <row r="1" ht="22.8" customHeight="1" s="24" thickBot="1">
      <c r="B1" s="1" t="inlineStr">
        <is>
          <t>養鶏場A</t>
        </is>
      </c>
      <c r="E1" s="1" t="inlineStr">
        <is>
          <t>養鶏場C</t>
        </is>
      </c>
    </row>
    <row r="2" ht="18.6" customHeight="1" s="24" thickBot="1">
      <c r="B2" s="7" t="inlineStr">
        <is>
          <t>サンプル</t>
        </is>
      </c>
      <c r="C2" s="3" t="inlineStr">
        <is>
          <t>重さ(g)</t>
        </is>
      </c>
      <c r="E2" s="7" t="inlineStr">
        <is>
          <t>サンプル</t>
        </is>
      </c>
      <c r="F2" s="3" t="inlineStr">
        <is>
          <t>重さ(g)</t>
        </is>
      </c>
    </row>
    <row r="3" ht="18.6" customHeight="1" s="24" thickBot="1">
      <c r="B3" s="8" t="n">
        <v>1</v>
      </c>
      <c r="C3" s="25" t="n">
        <v>56.5</v>
      </c>
      <c r="E3" s="8" t="n">
        <v>1</v>
      </c>
      <c r="F3" s="25" t="n">
        <v>58.4</v>
      </c>
    </row>
    <row r="4" ht="18.6" customHeight="1" s="24" thickBot="1">
      <c r="B4" s="9" t="n">
        <v>2</v>
      </c>
      <c r="C4" s="26" t="n">
        <v>51.2</v>
      </c>
      <c r="E4" s="9" t="n">
        <v>2</v>
      </c>
      <c r="F4" s="26" t="n">
        <v>66.8</v>
      </c>
      <c r="H4" s="7" t="inlineStr">
        <is>
          <t>F検定</t>
        </is>
      </c>
    </row>
    <row r="5" ht="18.6" customHeight="1" s="24" thickBot="1">
      <c r="B5" s="9" t="n">
        <v>3</v>
      </c>
      <c r="C5" s="26" t="n">
        <v>56.9</v>
      </c>
      <c r="E5" s="9" t="n">
        <v>3</v>
      </c>
      <c r="F5" s="26" t="n">
        <v>62.5</v>
      </c>
      <c r="H5" s="11">
        <f>_xlfn.F.TEST(C3:C12,F3:F7)</f>
        <v>0.0403173114211507</v>
      </c>
    </row>
    <row r="6" ht="18.6" customHeight="1" s="24" thickBot="1">
      <c r="B6" s="9" t="n">
        <v>4</v>
      </c>
      <c r="C6" s="26" t="n">
        <v>57.1</v>
      </c>
      <c r="E6" s="9" t="n">
        <v>4</v>
      </c>
      <c r="F6" s="26" t="n">
        <v>52.3</v>
      </c>
    </row>
    <row r="7" ht="18.6" customHeight="1" s="24" thickBot="1">
      <c r="B7" s="9" t="n">
        <v>5</v>
      </c>
      <c r="C7" s="26" t="n">
        <v>57.8</v>
      </c>
      <c r="E7" s="2" t="n">
        <v>5</v>
      </c>
      <c r="F7" s="27" t="n">
        <v>55.6</v>
      </c>
      <c r="H7" s="7" t="inlineStr">
        <is>
          <t>t検定</t>
        </is>
      </c>
    </row>
    <row r="8" ht="18.6" customHeight="1" s="24" thickBot="1">
      <c r="B8" s="9" t="n">
        <v>6</v>
      </c>
      <c r="C8" s="26" t="n">
        <v>59.5</v>
      </c>
      <c r="E8" s="10" t="n"/>
      <c r="H8" s="11">
        <f>_xlfn.T.TEST(C3:C12,F3:F7,2,3)</f>
        <v>0.276040993328092</v>
      </c>
    </row>
    <row r="9">
      <c r="B9" s="9" t="n">
        <v>7</v>
      </c>
      <c r="C9" s="26" t="n">
        <v>52.2</v>
      </c>
      <c r="E9" s="10" t="n"/>
    </row>
    <row r="10" ht="18.6" customHeight="1" s="24" thickBot="1">
      <c r="B10" s="9" t="n">
        <v>8</v>
      </c>
      <c r="C10" s="26" t="n">
        <v>55.7</v>
      </c>
      <c r="E10" s="10" t="n"/>
    </row>
    <row r="11">
      <c r="B11" s="9" t="n">
        <v>9</v>
      </c>
      <c r="C11" s="26" t="n">
        <v>56.8</v>
      </c>
      <c r="E11" s="10" t="n"/>
    </row>
    <row r="12" ht="18.6" customHeight="1" s="24" thickBot="1">
      <c r="B12" s="2" t="n">
        <v>10</v>
      </c>
      <c r="C12" s="27" t="n">
        <v>54.7</v>
      </c>
      <c r="E12" s="10" t="n"/>
    </row>
    <row r="13" ht="18.6" customHeight="1" s="24" thickBot="1"/>
    <row r="14">
      <c r="B14" s="14" t="inlineStr">
        <is>
          <t>標本平均</t>
        </is>
      </c>
      <c r="C14" s="28">
        <f>AVERAGE(C3:C12)</f>
        <v>55.84</v>
      </c>
      <c r="E14" s="14" t="inlineStr">
        <is>
          <t>標本平均</t>
        </is>
      </c>
      <c r="F14" s="28">
        <f>AVERAGE(F3:F7)</f>
        <v>59.12</v>
      </c>
    </row>
    <row r="15">
      <c r="B15" s="9" t="inlineStr">
        <is>
          <t>標本数</t>
        </is>
      </c>
      <c r="C15" s="29">
        <f>COUNT(C3:C12)</f>
        <v>10</v>
      </c>
      <c r="E15" s="9" t="inlineStr">
        <is>
          <t>標本数</t>
        </is>
      </c>
      <c r="F15" s="29">
        <f>COUNT(F3:F7)</f>
        <v>5</v>
      </c>
    </row>
    <row r="16" ht="18.6" customHeight="1" s="24" thickBot="1">
      <c r="B16" s="2" t="inlineStr">
        <is>
          <t>不偏分散</t>
        </is>
      </c>
      <c r="C16" s="30">
        <f>_xlfn.VAR.S(C3:C12)</f>
        <v>6.37822222222221</v>
      </c>
      <c r="E16" s="2" t="inlineStr">
        <is>
          <t>不偏分散</t>
        </is>
      </c>
      <c r="F16" s="30">
        <f>_xlfn.VAR.S(F3:F7)</f>
        <v>32.457</v>
      </c>
    </row>
    <row r="18" ht="18.6" customHeight="1" s="24" thickBot="1">
      <c r="B18" s="12" t="inlineStr">
        <is>
          <t>◆t検定</t>
        </is>
      </c>
    </row>
    <row r="19" s="24" thickBot="1">
      <c r="B19" s="14" t="inlineStr">
        <is>
          <t>（tの分子）</t>
        </is>
      </c>
      <c r="C19" s="31">
        <f>C14-F14</f>
        <v>-3.28000000000001</v>
      </c>
    </row>
    <row r="20" s="24">
      <c r="B20" s="9" t="inlineStr">
        <is>
          <t>（tの分母）</t>
        </is>
      </c>
      <c r="C20" s="32">
        <f>SQRT(C16/C15+F16/F15)</f>
        <v>2.67006034055828</v>
      </c>
    </row>
    <row r="21" ht="18.6" customHeight="1" s="24">
      <c r="B21" s="2" t="inlineStr">
        <is>
          <t>tの値</t>
        </is>
      </c>
      <c r="C21" s="33">
        <f>C19/C20</f>
        <v>-1.22843665747052</v>
      </c>
    </row>
    <row r="22" s="24" thickBot="1">
      <c r="B22" s="14" t="inlineStr">
        <is>
          <t>（自由度の分子）</t>
        </is>
      </c>
      <c r="C22" s="31">
        <f>(C16/C15+F16/F15)^2</f>
        <v>50.8258094938271</v>
      </c>
    </row>
    <row r="23" ht="18.6" customHeight="1" s="24" thickBot="1">
      <c r="B23" s="9" t="inlineStr">
        <is>
          <t>（自由度の分母A）</t>
        </is>
      </c>
      <c r="C23" s="32">
        <f>C16^2/(C15^2*(C15-1))</f>
        <v>0.0452019096844992</v>
      </c>
    </row>
    <row r="24" ht="18.6" customHeight="1" s="24">
      <c r="B24" s="9" t="inlineStr">
        <is>
          <t>（自由度の分母B）</t>
        </is>
      </c>
      <c r="C24" s="32">
        <f>F16^2/(F15^2*(F15-1))</f>
        <v>10.53456849</v>
      </c>
    </row>
    <row r="25" s="24">
      <c r="B25" s="2" t="inlineStr">
        <is>
          <t>自由度</t>
        </is>
      </c>
      <c r="C25" s="33">
        <f>C22/(C23+C24)</f>
        <v>4.80405600251427</v>
      </c>
    </row>
    <row r="26" ht="18.6" customHeight="1" s="24">
      <c r="B26" s="16" t="inlineStr">
        <is>
          <t>確率95%のt</t>
        </is>
      </c>
      <c r="C26" s="34">
        <f>_xlfn.T.INV.2T(0.05,ROUND(C25,0))</f>
        <v>2.57058183563632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相澤 裕介</dc:creator>
  <dcterms:created xsi:type="dcterms:W3CDTF">2019-03-29T10:39:11Z</dcterms:created>
  <dcterms:modified xsi:type="dcterms:W3CDTF">2026-09-30T01:18:00Z</dcterms:modified>
  <cp:lastModifiedBy>Toshitomo Suzuki</cp:lastModifiedBy>
</cp:coreProperties>
</file>