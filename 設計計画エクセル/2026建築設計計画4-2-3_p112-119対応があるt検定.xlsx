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tomo Suzuki\Documents\2021授業\建築設計計画IV\"/>
    </mc:Choice>
  </mc:AlternateContent>
  <xr:revisionPtr revIDLastSave="0" documentId="13_ncr:1_{F5C59229-59E1-42C4-A862-12C911AAA0C8}" xr6:coauthVersionLast="47" xr6:coauthVersionMax="47" xr10:uidLastSave="{00000000-0000-0000-0000-000000000000}"/>
  <bookViews>
    <workbookView xWindow="29400" yWindow="-7425" windowWidth="15450" windowHeight="15285" xr2:uid="{F2AE7E92-1A45-48ED-897A-781E3F5EC310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<sst xmlns="http://schemas.openxmlformats.org/spreadsheetml/2006/main" count="26" uniqueCount="23">
  <si>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サンプル</t>
    <phoneticPr fontId="1"/>
  </si>
  <si>
    <t>標本平均</t>
    <rPh sb="0" eb="2">
      <t>ヒョウホン</t>
    </rPh>
    <rPh sb="2" eb="4">
      <t>ヘイキン</t>
    </rPh>
    <phoneticPr fontId="1"/>
  </si>
  <si>
    <t>卵の重さ(g)の変化</t>
    <rPh sb="0" eb="1">
      <t>タマゴ</t>
    </rPh>
    <rPh sb="2" eb="3">
      <t>オモ</t>
    </rPh>
    <rPh sb="8" eb="10">
      <t>ヘンカ</t>
    </rPh>
    <phoneticPr fontId="1"/>
  </si>
  <si>
    <t>鶏①</t>
    <rPh sb="0" eb="1">
      <t>ニワトリ</t>
    </rPh>
    <phoneticPr fontId="1"/>
  </si>
  <si>
    <t>鶏②</t>
    <rPh sb="0" eb="1">
      <t>ニワトリ</t>
    </rPh>
    <phoneticPr fontId="1"/>
  </si>
  <si>
    <t>鶏③</t>
    <rPh sb="0" eb="1">
      <t>ニワトリ</t>
    </rPh>
    <phoneticPr fontId="1"/>
  </si>
  <si>
    <t>鶏④</t>
    <rPh sb="0" eb="1">
      <t>ニワトリ</t>
    </rPh>
    <phoneticPr fontId="1"/>
  </si>
  <si>
    <t>鶏⑤</t>
    <rPh sb="0" eb="1">
      <t>ニワトリ</t>
    </rPh>
    <phoneticPr fontId="1"/>
  </si>
  <si>
    <t>鶏⑥</t>
    <rPh sb="0" eb="1">
      <t>ニワトリ</t>
    </rPh>
    <phoneticPr fontId="1"/>
  </si>
  <si>
    <t>鶏⑦</t>
    <rPh sb="0" eb="1">
      <t>ニワトリ</t>
    </rPh>
    <phoneticPr fontId="1"/>
  </si>
  <si>
    <t>鶏⑧</t>
    <rPh sb="0" eb="1">
      <t>ニワトリ</t>
    </rPh>
    <phoneticPr fontId="1"/>
  </si>
  <si>
    <t>鶏⑨</t>
    <rPh sb="0" eb="1">
      <t>ニワトリ</t>
    </rPh>
    <phoneticPr fontId="1"/>
  </si>
  <si>
    <t>鶏⑩</t>
    <rPh sb="0" eb="1">
      <t>ニワトリ</t>
    </rPh>
    <phoneticPr fontId="1"/>
  </si>
  <si>
    <t>差</t>
    <rPh sb="0" eb="1">
      <t>サ</t>
    </rPh>
    <phoneticPr fontId="1"/>
  </si>
  <si>
    <t>不偏分散</t>
    <rPh sb="0" eb="2">
      <t>フヘン</t>
    </rPh>
    <rPh sb="2" eb="4">
      <t>ブンサン</t>
    </rPh>
    <phoneticPr fontId="1"/>
  </si>
  <si>
    <t>◆t検定</t>
    <rPh sb="2" eb="4">
      <t>ケンテイ</t>
    </rPh>
    <phoneticPr fontId="1"/>
  </si>
  <si>
    <t>tの値</t>
    <rPh sb="2" eb="3">
      <t>アタイ</t>
    </rPh>
    <phoneticPr fontId="1"/>
  </si>
  <si>
    <t>確率95%のt</t>
    <rPh sb="0" eb="2">
      <t>カクリツ</t>
    </rPh>
    <phoneticPr fontId="1"/>
  </si>
  <si>
    <t>◆差の平均値の95%信頼区間</t>
    <rPh sb="1" eb="2">
      <t>サ</t>
    </rPh>
    <rPh sb="3" eb="6">
      <t>ヘイキンチ</t>
    </rPh>
    <rPh sb="10" eb="12">
      <t>シンライ</t>
    </rPh>
    <rPh sb="12" eb="14">
      <t>クカン</t>
    </rPh>
    <phoneticPr fontId="1"/>
  </si>
  <si>
    <t>標準誤差</t>
    <rPh sb="0" eb="2">
      <t>ヒョウジュン</t>
    </rPh>
    <rPh sb="2" eb="4">
      <t>ゴサ</t>
    </rPh>
    <phoneticPr fontId="1"/>
  </si>
  <si>
    <t>平均値の誤差</t>
    <rPh sb="0" eb="3">
      <t>ヘイキンチ</t>
    </rPh>
    <rPh sb="4" eb="6">
      <t>ゴサ</t>
    </rPh>
    <phoneticPr fontId="1"/>
  </si>
  <si>
    <t>差の平均値の最大値</t>
    <rPh sb="0" eb="1">
      <t>サ</t>
    </rPh>
    <rPh sb="2" eb="5">
      <t>ヘイキンチ</t>
    </rPh>
    <rPh sb="6" eb="9">
      <t>サイダイチ</t>
    </rPh>
    <phoneticPr fontId="1"/>
  </si>
  <si>
    <t>差の平均値の最小値</t>
    <rPh sb="0" eb="1">
      <t>サ</t>
    </rPh>
    <rPh sb="2" eb="5">
      <t>ヘイキンチ</t>
    </rPh>
    <rPh sb="6" eb="9">
      <t>サイショウチ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</si>
</sst>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0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56" fontId="2" fillId="2" borderId="14" xfId="0" applyNumberFormat="1" applyFont="1" applyFill="1" applyBorder="1" applyAlignment="1">
      <alignment horizontal="center" vertical="center"/>
    </xf>
    <xf numFmtId="56" fontId="2" fillId="2" borderId="15" xfId="0" applyNumberFormat="1" applyFont="1" applyFill="1" applyBorder="1" applyAlignment="1">
      <alignment horizontal="center"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2" fillId="2" borderId="20" xfId="0" applyFont="1" applyFill="1" applyBorder="1" applyAlignment="1">
      <alignment horizontal="center" vertical="center"/>
    </xf>
    <xf numFmtId="177" fontId="2" fillId="0" borderId="6" xfId="0" applyNumberFormat="1" applyFont="1" applyBorder="1">
      <alignment vertical="center"/>
    </xf>
    <xf numFmtId="177" fontId="2" fillId="0" borderId="7" xfId="0" applyNumberFormat="1" applyFont="1" applyBorder="1">
      <alignment vertical="center"/>
    </xf>
    <xf numFmtId="0" fontId="2" fillId="0" borderId="0" xfId="0" applyFont="1">
      <alignment vertical="center"/>
    </xf>
    <xf numFmtId="0" fontId="2" fillId="2" borderId="22" xfId="0" applyFont="1" applyFill="1" applyBorder="1" applyAlignment="1">
      <alignment horizontal="center" vertical="center"/>
    </xf>
    <xf numFmtId="178" fontId="2" fillId="0" borderId="21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  <xf numFmtId="177" fontId="2" fillId="0" borderId="21" xfId="0" applyNumberFormat="1" applyFont="1" applyBorder="1">
      <alignment vertical="center"/>
    </xf>
    <xf numFmtId="177" fontId="2" fillId="0" borderId="10" xfId="0" applyNumberFormat="1" applyFont="1" applyBorder="1">
      <alignment vertical="center"/>
    </xf>
    <xf numFmtId="177" fontId="2" fillId="0" borderId="1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22" xfId="0" applyFont="1" applyFill="1" applyBorder="1" applyAlignment="1">
      <alignment horizontal="center" vertical="center"/>
    </xf>
    <xf numFmtId="177" fontId="2" fillId="0" borderId="2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23" xfId="0" applyFont="1" applyFill="1" applyBorder="1" applyAlignment="1">
      <alignment horizontal="center" vertical="center"/>
    </xf>
    <xf numFmtId="177" fontId="2" fillId="0" borderId="5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3A37-5C2F-4759-91A5-2EF6FFEC0759}">
  <dimension ref="B1:H19"/>
  <sheetViews>
    <sheetView tabSelected="1" workbookViewId="0">
      <selection activeCell="H14" sqref="H14"/>
    </sheetView>
  </sheetViews>
  <sheetFormatPr defaultRowHeight="18" x14ac:dyDescent="0.45"/>
  <cols>
    <col min="1" max="1" width="5.59765625" customWidth="1"/>
    <col min="2" max="5" width="12.59765625" customWidth="1"/>
    <col min="6" max="6" width="5.59765625" customWidth="1"/>
    <col min="7" max="7" width="20.59765625" customWidth="1"/>
    <col min="8" max="8" width="10.59765625" customWidth="1"/>
  </cols>
  <sheetData>
    <row r="1" spans="2:8" ht="22.8" thickBot="1" x14ac:dyDescent="0.5">
      <c r="B1" s="1" t="s">
        <v>2</v>
      </c>
      <c r="F1" s="30"/>
      <c r="G1" s="30"/>
      <c r="H1" s="30"/>
    </row>
    <row r="2" spans="2:8" ht="18.600000000000001" thickBot="1" x14ac:dyDescent="0.5">
      <c r="B2" s="4" t="s">
        <v>0</v>
      </c>
      <c r="C2" s="8">
        <v>43586</v>
      </c>
      <c r="D2" s="9">
        <v>43617</v>
      </c>
      <c r="E2" s="3" t="s">
        <v>13</v>
      </c>
      <c r="F2" s="30"/>
      <c r="G2" s="32" t="s">
        <v>18</v>
      </c>
      <c r="H2" s="30"/>
    </row>
    <row r="3" spans="2:8" x14ac:dyDescent="0.45">
      <c r="B3" s="5" t="s">
        <v>3</v>
      </c>
      <c r="C3" s="10">
        <v>56.5</v>
      </c>
      <c r="D3" s="11">
        <v>57.1</v>
      </c>
      <c r="E3" s="27">
        <f>D3-C3</f>
        <v>0.600000000000001</v>
      </c>
      <c r="F3" s="30"/>
      <c r="G3" s="33" t="s">
        <v>1</v>
      </c>
      <c r="H3" s="34">
        <f>AVERAGE(E3:E12)</f>
        <v>1.48</v>
      </c>
    </row>
    <row r="4" spans="2:8" x14ac:dyDescent="0.45">
      <c r="B4" s="6" t="s">
        <v>4</v>
      </c>
      <c r="C4" s="12">
        <v>51.2</v>
      </c>
      <c r="D4" s="13">
        <v>55.4</v>
      </c>
      <c r="E4" s="28">
        <f>D4-C4</f>
        <v>4.2</v>
      </c>
      <c r="F4" s="30"/>
      <c r="G4" s="36" t="s">
        <v>14</v>
      </c>
      <c r="H4" s="37">
        <f>_xlfn.VAR.S(E3:E12)</f>
        <v>6.03955555555555</v>
      </c>
    </row>
    <row r="5" spans="2:8" x14ac:dyDescent="0.45">
      <c r="B5" s="6" t="s">
        <v>5</v>
      </c>
      <c r="C5" s="12">
        <v>56.9</v>
      </c>
      <c r="D5" s="13">
        <v>57.3</v>
      </c>
      <c r="E5" s="28">
        <f>D5-C5</f>
        <v>0.399999999999999</v>
      </c>
      <c r="F5" s="30"/>
      <c r="G5" s="36" t="s">
        <v>19</v>
      </c>
      <c r="H5" s="37">
        <f>SQRT(H4/COUNT(E3:E12))</f>
        <v>0.777145774971179</v>
      </c>
    </row>
    <row r="6" spans="2:8" x14ac:dyDescent="0.45">
      <c r="B6" s="6" t="s">
        <v>6</v>
      </c>
      <c r="C6" s="12">
        <v>57.1</v>
      </c>
      <c r="D6" s="13">
        <v>58.3</v>
      </c>
      <c r="E6" s="28">
        <f>D6-C6</f>
        <v>1.2</v>
      </c>
      <c r="F6" s="30"/>
      <c r="G6" s="36" t="s">
        <v>16</v>
      </c>
      <c r="H6" s="37">
        <f>_xlfn.T.INV.2T(0.05,COUNT(E3:E12)-1)</f>
        <v>2.26215716279821</v>
      </c>
    </row>
    <row r="7" spans="2:8" ht="18.600000000000001" thickBot="1" x14ac:dyDescent="0.5">
      <c r="B7" s="6" t="s">
        <v>7</v>
      </c>
      <c r="C7" s="12">
        <v>57.8</v>
      </c>
      <c r="D7" s="13">
        <v>56.8</v>
      </c>
      <c r="E7" s="28">
        <f>D7-C7</f>
        <v>-1</v>
      </c>
      <c r="F7" s="30"/>
      <c r="G7" s="31" t="s">
        <v>20</v>
      </c>
      <c r="H7" s="35">
        <f>H5*H6</f>
        <v>1.75802588138942</v>
      </c>
    </row>
    <row r="8" spans="2:8" ht="18.600000000000001" thickBot="1" x14ac:dyDescent="0.5">
      <c r="B8" s="6" t="s">
        <v>8</v>
      </c>
      <c r="C8" s="12">
        <v>59.5</v>
      </c>
      <c r="D8" s="13">
        <v>57.5</v>
      </c>
      <c r="E8" s="28">
        <f>D8-C8</f>
        <v>-2</v>
      </c>
      <c r="F8" s="30"/>
      <c r="G8" s="30"/>
      <c r="H8" s="30"/>
    </row>
    <row r="9" spans="2:8" x14ac:dyDescent="0.45">
      <c r="B9" s="6" t="s">
        <v>9</v>
      </c>
      <c r="C9" s="12">
        <v>52.2</v>
      </c>
      <c r="D9" s="13">
        <v>56.8</v>
      </c>
      <c r="E9" s="28">
        <f>D9-C9</f>
        <v>4.59999999999999</v>
      </c>
      <c r="F9" s="30"/>
      <c r="G9" s="33" t="s">
        <v>21</v>
      </c>
      <c r="H9" s="34">
        <f>H3+H7</f>
        <v>3.23802588138941</v>
      </c>
    </row>
    <row r="10" spans="2:8" ht="18.600000000000001" thickBot="1" x14ac:dyDescent="0.5">
      <c r="B10" s="6" t="s">
        <v>10</v>
      </c>
      <c r="C10" s="12">
        <v>55.7</v>
      </c>
      <c r="D10" s="13">
        <v>59.4</v>
      </c>
      <c r="E10" s="28">
        <f>D10-C10</f>
        <v>3.7</v>
      </c>
      <c r="F10" s="30"/>
      <c r="G10" s="31" t="s">
        <v>22</v>
      </c>
      <c r="H10" s="35">
        <f>H3-H7</f>
        <v>-0.278025881389417</v>
      </c>
    </row>
    <row r="11" spans="2:8" x14ac:dyDescent="0.45">
      <c r="B11" s="6" t="s">
        <v>11</v>
      </c>
      <c r="C11" s="12">
        <v>56.8</v>
      </c>
      <c r="D11" s="13">
        <v>55.9</v>
      </c>
      <c r="E11" s="28">
        <f>D11-C11</f>
        <v>-0.899999999999999</v>
      </c>
      <c r="F11" s="30"/>
      <c r="G11" s="30"/>
      <c r="H11" s="30"/>
    </row>
    <row r="12" spans="2:8" ht="18.600000000000001" thickBot="1" x14ac:dyDescent="0.5">
      <c r="B12" s="7" t="s">
        <v>12</v>
      </c>
      <c r="C12" s="14">
        <v>54.7</v>
      </c>
      <c r="D12" s="15">
        <v>58.7</v>
      </c>
      <c r="E12" s="29">
        <f>D12-C12</f>
        <v>4</v>
      </c>
      <c r="F12" s="30"/>
      <c r="G12" s="30"/>
      <c r="H12" s="30"/>
    </row>
    <row r="13" spans="2:8" ht="18.600000000000001" thickBot="1" x14ac:dyDescent="0.5">
      <c r="F13" s="30"/>
      <c r="G13" s="30"/>
      <c r="H13" s="30"/>
    </row>
    <row r="14" spans="2:8" x14ac:dyDescent="0.45">
      <c r="B14" s="16" t="s">
        <v>1</v>
      </c>
      <c r="C14" s="17">
        <f>AVERAGE(C3:C12)</f>
        <v>55.84</v>
      </c>
      <c r="D14" s="18">
        <f>AVERAGE(D3:D12)</f>
        <v>57.32</v>
      </c>
      <c r="E14" s="23">
        <f>AVERAGE(E3:E12)</f>
        <v>1.48</v>
      </c>
      <c r="F14" s="30"/>
      <c r="G14" s="30"/>
      <c r="H14" s="30"/>
    </row>
    <row r="15" spans="2:8" ht="18.600000000000001" thickBot="1" x14ac:dyDescent="0.5">
      <c r="B15" s="7" t="s">
        <v>14</v>
      </c>
      <c r="C15" s="24">
        <f>_xlfn.VAR.S(C3:C12)</f>
        <v>6.37822222222221</v>
      </c>
      <c r="D15" s="25">
        <f>_xlfn.VAR.S(D3:D12)</f>
        <v>1.50177777777778</v>
      </c>
      <c r="E15" s="26">
        <f>_xlfn.VAR.S(E3:E12)</f>
        <v>6.03955555555555</v>
      </c>
      <c r="F15" s="30"/>
      <c r="G15" s="30"/>
      <c r="H15" s="30"/>
    </row>
    <row r="17" spans="2:3" ht="18.600000000000001" thickBot="1" x14ac:dyDescent="0.5">
      <c r="B17" s="19" t="s">
        <v>15</v>
      </c>
    </row>
    <row r="18" spans="2:3" x14ac:dyDescent="0.45">
      <c r="B18" s="20" t="s">
        <v>16</v>
      </c>
      <c r="C18" s="21">
        <f>(C14-D14)/SQRT(E15/10)</f>
        <v>-1.90440461450736</v>
      </c>
    </row>
    <row r="19" spans="2:3" ht="18.600000000000001" thickBot="1" x14ac:dyDescent="0.5">
      <c r="B19" s="2" t="s">
        <v>17</v>
      </c>
      <c r="C19" s="22">
        <f>_xlfn.T.INV.2T(0.05,9)</f>
        <v>2.26215716279821</v>
      </c>
    </row>
  </sheetData>
  <phoneticPr fontId="1"/>
  <pageMargins left="0.7" right="0.7" top="0.75" bottom="0.75" header="0.3" footer="0.3"/>
</worksheet>
</file>