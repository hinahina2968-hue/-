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tomo Suzuki\Documents\2021授業\建築設計計画IV\"/>
    </mc:Choice>
  </mc:AlternateContent>
  <xr:revisionPtr revIDLastSave="0" documentId="13_ncr:1_{F5C59229-59E1-42C4-A862-12C911AAA0C8}" xr6:coauthVersionLast="47" xr6:coauthVersionMax="47" xr10:uidLastSave="{00000000-0000-0000-0000-000000000000}"/>
  <bookViews>
    <workbookView xWindow="29400" yWindow="-7425" windowWidth="15450" windowHeight="15285" xr2:uid="{F2AE7E92-1A45-48ED-897A-781E3F5EC310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<sst xmlns="http://schemas.openxmlformats.org/spreadsheetml/2006/main" count="20" uniqueCount="15">
  <si>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サンプル</t>
    <phoneticPr fontId="1"/>
  </si>
  <si>
    <t>重さ(g)</t>
    <rPh sb="0" eb="1">
      <t>オモ</t>
    </rPh>
    <phoneticPr fontId="1"/>
  </si>
  <si>
    <t>養鶏場A</t>
    <rPh sb="0" eb="3">
      <t>ヨウケイジョウ</t>
    </rPh>
    <phoneticPr fontId="1"/>
  </si>
  <si>
    <t>標本平均</t>
    <rPh sb="0" eb="2">
      <t>ヒョウホン</t>
    </rPh>
    <rPh sb="2" eb="4">
      <t>ヘイキン</t>
    </rPh>
    <phoneticPr fontId="1"/>
  </si>
  <si>
    <t>養鶏場B</t>
    <rPh sb="0" eb="3">
      <t>ヨウケイジョウ</t>
    </rPh>
    <phoneticPr fontId="1"/>
  </si>
  <si>
    <t>F検定</t>
    <rPh sb="1" eb="3">
      <t>ケンテイ</t>
    </rPh>
    <phoneticPr fontId="1"/>
  </si>
  <si>
    <t>標本数</t>
    <rPh sb="0" eb="3">
      <t>ヒョウホンスウ</t>
    </rPh>
    <phoneticPr fontId="1"/>
  </si>
  <si>
    <t>標本分散</t>
    <rPh sb="0" eb="2">
      <t>ヒョウホン</t>
    </rPh>
    <rPh sb="2" eb="4">
      <t>ブンサン</t>
    </rPh>
    <phoneticPr fontId="1"/>
  </si>
  <si>
    <t>◆t検定</t>
    <rPh sb="2" eb="4">
      <t>ケンテイ</t>
    </rPh>
    <phoneticPr fontId="1"/>
  </si>
  <si>
    <t>推定母分散</t>
    <rPh sb="0" eb="2">
      <t>スイテイ</t>
    </rPh>
    <rPh sb="2" eb="3">
      <t>ボ</t>
    </rPh>
    <rPh sb="3" eb="5">
      <t>ブンサン</t>
    </rPh>
    <phoneticPr fontId="1"/>
  </si>
  <si>
    <t>（tの分子）</t>
    <rPh sb="3" eb="5">
      <t>ブンシ</t>
    </rPh>
    <phoneticPr fontId="1"/>
  </si>
  <si>
    <t>（tの分母）</t>
    <rPh sb="3" eb="5">
      <t>ブンボ</t>
    </rPh>
    <phoneticPr fontId="1"/>
  </si>
  <si>
    <t>tの値</t>
    <rPh sb="2" eb="3">
      <t>アタイ</t>
    </rPh>
    <phoneticPr fontId="1"/>
  </si>
  <si>
    <t>確率95%のt</t>
    <rPh sb="0" eb="2">
      <t>カクリツ</t>
    </rPh>
    <phoneticPr fontId="1"/>
  </si>
  <si>
    <t>t検定</t>
    <rPh sb="1" eb="3">
      <t>ケンテイ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</si>
</sst>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_ "/>
    <numFmt numFmtId="179" formatCode="0.00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1" xfId="0" applyNumberFormat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0" xfId="0" applyFont="1">
      <alignment vertical="center"/>
    </xf>
    <xf numFmtId="177" fontId="2" fillId="0" borderId="10" xfId="0" applyNumberFormat="1" applyFont="1" applyBorder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8" fontId="2" fillId="0" borderId="6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9" fontId="2" fillId="0" borderId="13" xfId="0" applyNumberFormat="1" applyFont="1" applyBorder="1">
      <alignment vertical="center"/>
    </xf>
    <xf numFmtId="179" fontId="2" fillId="0" borderId="10" xfId="0" applyNumberFormat="1" applyFont="1" applyBorder="1">
      <alignment vertical="center"/>
    </xf>
    <xf numFmtId="179" fontId="2" fillId="0" borderId="6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179" fontId="2" fillId="0" borderId="1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3A37-5C2F-4759-91A5-2EF6FFEC0759}">
  <dimension ref="B1:H23"/>
  <sheetViews>
    <sheetView tabSelected="1" workbookViewId="0">
      <selection activeCell="I6" sqref="I6"/>
    </sheetView>
  </sheetViews>
  <sheetFormatPr defaultRowHeight="18" x14ac:dyDescent="0.45"/>
  <cols>
    <col min="1" max="1" width="5.59765625" customWidth="1"/>
    <col min="2" max="2" width="14.59765625" customWidth="1"/>
    <col min="3" max="3" width="12.59765625" customWidth="1"/>
    <col min="4" max="4" width="5.59765625" customWidth="1"/>
    <col min="5" max="5" width="14.59765625" customWidth="1"/>
    <col min="6" max="6" width="12.59765625" customWidth="1"/>
    <col min="7" max="7" width="5.59765625" customWidth="1"/>
    <col min="8" max="8" width="12.59765625" customWidth="1"/>
  </cols>
  <sheetData>
    <row r="1" spans="2:8" ht="22.8" thickBot="1" x14ac:dyDescent="0.5">
      <c r="B1" s="1" t="s">
        <v>2</v>
      </c>
      <c r="E1" s="1" t="s">
        <v>4</v>
      </c>
    </row>
    <row r="2" spans="2:8" ht="18.600000000000001" thickBot="1" x14ac:dyDescent="0.5">
      <c r="B2" s="7" t="s">
        <v>0</v>
      </c>
      <c r="C2" s="3" t="s">
        <v>1</v>
      </c>
      <c r="E2" s="7" t="s">
        <v>0</v>
      </c>
      <c r="F2" s="3" t="s">
        <v>1</v>
      </c>
    </row>
    <row r="3" spans="2:8" ht="18.600000000000001" thickBot="1" x14ac:dyDescent="0.5">
      <c r="B3" s="8">
        <v>1</v>
      </c>
      <c r="C3" s="4">
        <v>56.5</v>
      </c>
      <c r="E3" s="8">
        <v>1</v>
      </c>
      <c r="F3" s="4">
        <v>57.6</v>
      </c>
    </row>
    <row r="4" spans="2:8" ht="18.600000000000001" thickBot="1" x14ac:dyDescent="0.5">
      <c r="B4" s="9">
        <v>2</v>
      </c>
      <c r="C4" s="5">
        <v>51.2</v>
      </c>
      <c r="E4" s="9">
        <v>2</v>
      </c>
      <c r="F4" s="5">
        <v>61.2</v>
      </c>
      <c r="H4" s="7" t="s">
        <v>5</v>
      </c>
    </row>
    <row r="5" spans="2:8" ht="18.600000000000001" thickBot="1" x14ac:dyDescent="0.5">
      <c r="B5" s="9">
        <v>3</v>
      </c>
      <c r="C5" s="5">
        <v>56.9</v>
      </c>
      <c r="E5" s="9">
        <v>3</v>
      </c>
      <c r="F5" s="5">
        <v>63.5</v>
      </c>
      <c r="H5" s="11">
        <f>_xlfn.F.TEST(C3:C12,F3:F10)</f>
        <v>0.733635258738101</v>
      </c>
    </row>
    <row r="6" spans="2:8" ht="18.600000000000001" thickBot="1" x14ac:dyDescent="0.5">
      <c r="B6" s="9">
        <v>4</v>
      </c>
      <c r="C6" s="5">
        <v>57.1</v>
      </c>
      <c r="E6" s="9">
        <v>4</v>
      </c>
      <c r="F6" s="5">
        <v>55.2</v>
      </c>
    </row>
    <row r="7" spans="2:8" ht="18.600000000000001" thickBot="1" x14ac:dyDescent="0.5">
      <c r="B7" s="9">
        <v>5</v>
      </c>
      <c r="C7" s="5">
        <v>57.8</v>
      </c>
      <c r="E7" s="9">
        <v>5</v>
      </c>
      <c r="F7" s="5">
        <v>58.3</v>
      </c>
      <c r="H7" s="7" t="s">
        <v>14</v>
      </c>
    </row>
    <row r="8" spans="2:8" ht="18.600000000000001" thickBot="1" x14ac:dyDescent="0.5">
      <c r="B8" s="9">
        <v>6</v>
      </c>
      <c r="C8" s="5">
        <v>59.5</v>
      </c>
      <c r="E8" s="9">
        <v>6</v>
      </c>
      <c r="F8" s="5">
        <v>60.9</v>
      </c>
      <c r="H8" s="11">
        <f>_xlfn.T.TEST(C3:C12,F3:F10,2,2)</f>
        <v>0.0342980359481493</v>
      </c>
    </row>
    <row r="9" spans="2:8" x14ac:dyDescent="0.45">
      <c r="B9" s="9">
        <v>7</v>
      </c>
      <c r="C9" s="5">
        <v>52.2</v>
      </c>
      <c r="E9" s="9">
        <v>7</v>
      </c>
      <c r="F9" s="5">
        <v>56.3</v>
      </c>
    </row>
    <row r="10" spans="2:8" ht="18.600000000000001" thickBot="1" x14ac:dyDescent="0.5">
      <c r="B10" s="9">
        <v>8</v>
      </c>
      <c r="C10" s="5">
        <v>55.7</v>
      </c>
      <c r="E10" s="2">
        <v>8</v>
      </c>
      <c r="F10" s="6">
        <v>57.1</v>
      </c>
    </row>
    <row r="11" spans="2:8" x14ac:dyDescent="0.45">
      <c r="B11" s="9">
        <v>9</v>
      </c>
      <c r="C11" s="5">
        <v>56.8</v>
      </c>
      <c r="E11" s="10"/>
    </row>
    <row r="12" spans="2:8" ht="18.600000000000001" thickBot="1" x14ac:dyDescent="0.5">
      <c r="B12" s="2">
        <v>10</v>
      </c>
      <c r="C12" s="6">
        <v>54.7</v>
      </c>
      <c r="E12" s="10"/>
    </row>
    <row r="13" spans="2:8" ht="18.600000000000001" thickBot="1" x14ac:dyDescent="0.5"/>
    <row r="14" spans="2:8" x14ac:dyDescent="0.45">
      <c r="B14" s="14" t="s">
        <v>3</v>
      </c>
      <c r="C14" s="13">
        <f>AVERAGE(C3:C12)</f>
        <v>55.84</v>
      </c>
      <c r="E14" s="14" t="s">
        <v>3</v>
      </c>
      <c r="F14" s="13">
        <f>AVERAGE(F3:F10)</f>
        <v>58.7625</v>
      </c>
    </row>
    <row r="15" spans="2:8" x14ac:dyDescent="0.45">
      <c r="B15" s="9" t="s">
        <v>6</v>
      </c>
      <c r="C15" s="17">
        <f>COUNT(C3:C12)</f>
        <v>10</v>
      </c>
      <c r="E15" s="9" t="s">
        <v>6</v>
      </c>
      <c r="F15" s="17">
        <f>COUNT(F3:F10)</f>
        <v>8</v>
      </c>
    </row>
    <row r="16" spans="2:8" ht="18.600000000000001" thickBot="1" x14ac:dyDescent="0.5">
      <c r="B16" s="2" t="s">
        <v>7</v>
      </c>
      <c r="C16" s="18">
        <f>_xlfn.VAR.P(C3:C12)</f>
        <v>5.74039999999999</v>
      </c>
      <c r="E16" s="2" t="s">
        <v>7</v>
      </c>
      <c r="F16" s="18">
        <f>_xlfn.VAR.P(F3:F10)</f>
        <v>7.00484375</v>
      </c>
    </row>
    <row r="18" spans="2:3" ht="18.600000000000001" thickBot="1" x14ac:dyDescent="0.5">
      <c r="B18" s="12" t="s">
        <v>8</v>
      </c>
    </row>
    <row r="19" spans="2:3" ht="18.600000000000001" thickBot="1" x14ac:dyDescent="0.5">
      <c r="B19" s="15" t="s">
        <v>9</v>
      </c>
      <c r="C19" s="19">
        <f>(C16*C15+F16*F15)/(C15+F15-2)</f>
        <v>7.090171875</v>
      </c>
    </row>
    <row r="20" spans="2:3" x14ac:dyDescent="0.45">
      <c r="B20" s="14" t="s">
        <v>10</v>
      </c>
      <c r="C20" s="20">
        <f>C14-F14</f>
        <v>-2.92250000000001</v>
      </c>
    </row>
    <row r="21" spans="2:3" x14ac:dyDescent="0.45">
      <c r="B21" s="9" t="s">
        <v>11</v>
      </c>
      <c r="C21" s="21">
        <f>SQRT(C19*(1/C15+1/F15))</f>
        <v>1.26304737515067</v>
      </c>
    </row>
    <row r="22" spans="2:3" ht="18.600000000000001" thickBot="1" x14ac:dyDescent="0.5">
      <c r="B22" s="2" t="s">
        <v>12</v>
      </c>
      <c r="C22" s="22">
        <f>C20/C21</f>
        <v>-2.31384828273079</v>
      </c>
    </row>
    <row r="23" spans="2:3" ht="18.600000000000001" thickBot="1" x14ac:dyDescent="0.5">
      <c r="B23" s="16" t="s">
        <v>13</v>
      </c>
      <c r="C23" s="23">
        <f>_xlfn.T.INV.2T(0.05,C15+F15-2)</f>
        <v>2.11990529922125</v>
      </c>
    </row>
  </sheetData>
  <phoneticPr fontId="1"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相澤 裕介</dc:creator>
  <cp:lastModifiedBy>Toshitomo Suzuki</cp:lastModifiedBy>
  <dcterms:created xsi:type="dcterms:W3CDTF">2019-03-29T10:39:11Z</dcterms:created>
  <dcterms:modified xsi:type="dcterms:W3CDTF">2025-09-21T05:03:47Z</dcterms:modified>
</cp:coreProperties>
</file>